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e70a3ae7fe521d8/Documentos/"/>
    </mc:Choice>
  </mc:AlternateContent>
  <xr:revisionPtr revIDLastSave="460" documentId="8_{1A76CE06-A6D4-4621-96D4-FCAAFBF9A3F3}" xr6:coauthVersionLast="47" xr6:coauthVersionMax="47" xr10:uidLastSave="{0E00C3A3-0665-43E7-9D1F-629D4752C489}"/>
  <bookViews>
    <workbookView xWindow="-108" yWindow="-108" windowWidth="23256" windowHeight="12456" firstSheet="3" activeTab="7" xr2:uid="{00000000-000D-0000-FFFF-FFFF00000000}"/>
  </bookViews>
  <sheets>
    <sheet name="Hoja2" sheetId="1" r:id="rId1"/>
    <sheet name="Jornada 1" sheetId="2" r:id="rId2"/>
    <sheet name="Jornada 2 (1)" sheetId="3" r:id="rId3"/>
    <sheet name="Jornada 2 partidos" sheetId="10" r:id="rId4"/>
    <sheet name="Jornada 3" sheetId="12" r:id="rId5"/>
    <sheet name="Jornada 4" sheetId="13" r:id="rId6"/>
    <sheet name="Jornada 5" sheetId="15" r:id="rId7"/>
    <sheet name="Ranking General" sheetId="16" r:id="rId8"/>
  </sheets>
  <definedNames>
    <definedName name="_xlnm._FilterDatabase" localSheetId="1" hidden="1">'Jornada 1'!$S$3:$U$27</definedName>
    <definedName name="_xlnm._FilterDatabase" localSheetId="7" hidden="1">'Ranking General'!$A$1:$H$25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L2XmDMtRTvarQ2AHEtPFtc+4hyu5v84fzQndO+8CT0="/>
    </ext>
  </extLst>
</workbook>
</file>

<file path=xl/calcChain.xml><?xml version="1.0" encoding="utf-8"?>
<calcChain xmlns="http://schemas.openxmlformats.org/spreadsheetml/2006/main">
  <c r="B10" i="16" l="1"/>
  <c r="B11" i="16"/>
  <c r="B12" i="16"/>
  <c r="B13" i="16"/>
  <c r="B14" i="16"/>
  <c r="B16" i="16"/>
  <c r="B17" i="16"/>
  <c r="B18" i="16"/>
  <c r="B23" i="16"/>
  <c r="B2" i="16"/>
  <c r="D46" i="2"/>
  <c r="A20" i="16"/>
  <c r="B20" i="16" s="1"/>
  <c r="A21" i="16"/>
  <c r="B21" i="16" s="1"/>
  <c r="A14" i="16"/>
  <c r="A7" i="16"/>
  <c r="B7" i="16" s="1"/>
  <c r="A9" i="16"/>
  <c r="B9" i="16" s="1"/>
  <c r="A22" i="16"/>
  <c r="B22" i="16" s="1"/>
  <c r="A15" i="16"/>
  <c r="B15" i="16" s="1"/>
  <c r="A18" i="16"/>
  <c r="A10" i="16"/>
  <c r="A12" i="16"/>
  <c r="A23" i="16"/>
  <c r="A13" i="16"/>
  <c r="A19" i="16"/>
  <c r="B19" i="16" s="1"/>
  <c r="A16" i="16"/>
  <c r="A11" i="16"/>
  <c r="A3" i="16"/>
  <c r="B3" i="16" s="1"/>
  <c r="A24" i="16"/>
  <c r="B24" i="16" s="1"/>
  <c r="A17" i="16"/>
  <c r="A25" i="16"/>
  <c r="B25" i="16" s="1"/>
  <c r="A4" i="16"/>
  <c r="B4" i="16" s="1"/>
  <c r="A6" i="16"/>
  <c r="B6" i="16" s="1"/>
  <c r="A5" i="16"/>
  <c r="B5" i="16" s="1"/>
  <c r="A8" i="16"/>
  <c r="B8" i="16" s="1"/>
  <c r="A2" i="16"/>
  <c r="C65" i="15"/>
  <c r="C64" i="15"/>
  <c r="P63" i="15"/>
  <c r="N63" i="15"/>
  <c r="L63" i="15"/>
  <c r="J63" i="15"/>
  <c r="H63" i="15"/>
  <c r="F63" i="15"/>
  <c r="C63" i="15"/>
  <c r="P62" i="15"/>
  <c r="N62" i="15"/>
  <c r="L62" i="15"/>
  <c r="J62" i="15"/>
  <c r="H62" i="15"/>
  <c r="F62" i="15"/>
  <c r="C62" i="15"/>
  <c r="C57" i="15"/>
  <c r="C56" i="15"/>
  <c r="P55" i="15"/>
  <c r="N55" i="15"/>
  <c r="L55" i="15"/>
  <c r="J55" i="15"/>
  <c r="H55" i="15"/>
  <c r="F55" i="15"/>
  <c r="C55" i="15"/>
  <c r="P54" i="15"/>
  <c r="N54" i="15"/>
  <c r="L54" i="15"/>
  <c r="J54" i="15"/>
  <c r="H54" i="15"/>
  <c r="F54" i="15"/>
  <c r="C54" i="15"/>
  <c r="C49" i="15"/>
  <c r="C48" i="15"/>
  <c r="P47" i="15"/>
  <c r="N47" i="15"/>
  <c r="L47" i="15"/>
  <c r="J47" i="15"/>
  <c r="H47" i="15"/>
  <c r="F47" i="15"/>
  <c r="C47" i="15"/>
  <c r="P46" i="15"/>
  <c r="N46" i="15"/>
  <c r="L46" i="15"/>
  <c r="J46" i="15"/>
  <c r="H46" i="15"/>
  <c r="F46" i="15"/>
  <c r="C46" i="15"/>
  <c r="C42" i="15"/>
  <c r="E42" i="15" s="1"/>
  <c r="C41" i="15"/>
  <c r="E41" i="15" s="1"/>
  <c r="C40" i="15"/>
  <c r="T8" i="15" s="1"/>
  <c r="C39" i="15"/>
  <c r="T11" i="15" s="1"/>
  <c r="C35" i="15"/>
  <c r="E35" i="15" s="1"/>
  <c r="C34" i="15"/>
  <c r="E34" i="15" s="1"/>
  <c r="C33" i="15"/>
  <c r="E33" i="15" s="1"/>
  <c r="C32" i="15"/>
  <c r="E32" i="15" s="1"/>
  <c r="C28" i="15"/>
  <c r="E28" i="15" s="1"/>
  <c r="T27" i="15"/>
  <c r="C27" i="15"/>
  <c r="T16" i="15" s="1"/>
  <c r="T26" i="15"/>
  <c r="C26" i="15"/>
  <c r="T20" i="15" s="1"/>
  <c r="T25" i="15"/>
  <c r="E25" i="15"/>
  <c r="C25" i="15"/>
  <c r="C21" i="15"/>
  <c r="T22" i="15" s="1"/>
  <c r="C20" i="15"/>
  <c r="E20" i="15" s="1"/>
  <c r="E19" i="15"/>
  <c r="C19" i="15"/>
  <c r="T21" i="15" s="1"/>
  <c r="C18" i="15"/>
  <c r="T7" i="15" s="1"/>
  <c r="T17" i="15"/>
  <c r="T14" i="15"/>
  <c r="E14" i="15"/>
  <c r="C14" i="15"/>
  <c r="T19" i="15" s="1"/>
  <c r="T13" i="15"/>
  <c r="C13" i="15"/>
  <c r="E13" i="15" s="1"/>
  <c r="C12" i="15"/>
  <c r="T15" i="15" s="1"/>
  <c r="C11" i="15"/>
  <c r="T5" i="15" s="1"/>
  <c r="T9" i="15"/>
  <c r="C7" i="15"/>
  <c r="E7" i="15" s="1"/>
  <c r="T6" i="15"/>
  <c r="C6" i="15"/>
  <c r="T18" i="15" s="1"/>
  <c r="E5" i="15"/>
  <c r="C5" i="15"/>
  <c r="T4" i="15"/>
  <c r="C4" i="15"/>
  <c r="E4" i="15" s="1"/>
  <c r="C65" i="13"/>
  <c r="C64" i="13"/>
  <c r="P63" i="13"/>
  <c r="N63" i="13"/>
  <c r="L63" i="13"/>
  <c r="J63" i="13"/>
  <c r="H63" i="13"/>
  <c r="F63" i="13"/>
  <c r="C63" i="13"/>
  <c r="P62" i="13"/>
  <c r="N62" i="13"/>
  <c r="L62" i="13"/>
  <c r="J62" i="13"/>
  <c r="H62" i="13"/>
  <c r="F62" i="13"/>
  <c r="C62" i="13"/>
  <c r="C57" i="13"/>
  <c r="C56" i="13"/>
  <c r="P55" i="13"/>
  <c r="N55" i="13"/>
  <c r="L55" i="13"/>
  <c r="J55" i="13"/>
  <c r="H55" i="13"/>
  <c r="F55" i="13"/>
  <c r="C55" i="13"/>
  <c r="P54" i="13"/>
  <c r="N54" i="13"/>
  <c r="L54" i="13"/>
  <c r="J54" i="13"/>
  <c r="H54" i="13"/>
  <c r="F54" i="13"/>
  <c r="C54" i="13"/>
  <c r="C49" i="13"/>
  <c r="C48" i="13"/>
  <c r="P47" i="13"/>
  <c r="N47" i="13"/>
  <c r="L47" i="13"/>
  <c r="J47" i="13"/>
  <c r="H47" i="13"/>
  <c r="F47" i="13"/>
  <c r="C47" i="13"/>
  <c r="P46" i="13"/>
  <c r="N46" i="13"/>
  <c r="L46" i="13"/>
  <c r="J46" i="13"/>
  <c r="H46" i="13"/>
  <c r="F46" i="13"/>
  <c r="C46" i="13"/>
  <c r="C42" i="13"/>
  <c r="E42" i="13" s="1"/>
  <c r="C41" i="13"/>
  <c r="E41" i="13" s="1"/>
  <c r="E40" i="13"/>
  <c r="C40" i="13"/>
  <c r="C39" i="13"/>
  <c r="E39" i="13" s="1"/>
  <c r="C35" i="13"/>
  <c r="E35" i="13" s="1"/>
  <c r="C34" i="13"/>
  <c r="E34" i="13" s="1"/>
  <c r="C33" i="13"/>
  <c r="E33" i="13" s="1"/>
  <c r="E32" i="13"/>
  <c r="C32" i="13"/>
  <c r="C28" i="13"/>
  <c r="E28" i="13" s="1"/>
  <c r="T27" i="13"/>
  <c r="E27" i="13"/>
  <c r="C27" i="13"/>
  <c r="T26" i="13"/>
  <c r="C26" i="13"/>
  <c r="E26" i="13" s="1"/>
  <c r="T25" i="13"/>
  <c r="E25" i="13"/>
  <c r="C25" i="13"/>
  <c r="E21" i="13"/>
  <c r="C21" i="13"/>
  <c r="T22" i="13" s="1"/>
  <c r="T20" i="13"/>
  <c r="C20" i="13"/>
  <c r="E20" i="13" s="1"/>
  <c r="T19" i="13"/>
  <c r="C19" i="13"/>
  <c r="T21" i="13" s="1"/>
  <c r="C18" i="13"/>
  <c r="E18" i="13" s="1"/>
  <c r="T16" i="13"/>
  <c r="T15" i="13"/>
  <c r="C14" i="13"/>
  <c r="E14" i="13" s="1"/>
  <c r="T13" i="13"/>
  <c r="E13" i="13"/>
  <c r="C13" i="13"/>
  <c r="T24" i="13" s="1"/>
  <c r="T12" i="13"/>
  <c r="E12" i="13"/>
  <c r="C12" i="13"/>
  <c r="T11" i="13"/>
  <c r="C11" i="13"/>
  <c r="T5" i="13" s="1"/>
  <c r="T10" i="13"/>
  <c r="T9" i="13"/>
  <c r="T8" i="13"/>
  <c r="T7" i="13"/>
  <c r="C7" i="13"/>
  <c r="T23" i="13" s="1"/>
  <c r="T6" i="13"/>
  <c r="E6" i="13"/>
  <c r="C6" i="13"/>
  <c r="T18" i="13" s="1"/>
  <c r="C5" i="13"/>
  <c r="E5" i="13" s="1"/>
  <c r="T4" i="13"/>
  <c r="E4" i="13"/>
  <c r="C4" i="13"/>
  <c r="C65" i="12"/>
  <c r="C64" i="12"/>
  <c r="P63" i="12"/>
  <c r="N63" i="12"/>
  <c r="L63" i="12"/>
  <c r="J63" i="12"/>
  <c r="H63" i="12"/>
  <c r="F63" i="12"/>
  <c r="C63" i="12"/>
  <c r="P62" i="12"/>
  <c r="N62" i="12"/>
  <c r="L62" i="12"/>
  <c r="J62" i="12"/>
  <c r="H62" i="12"/>
  <c r="F62" i="12"/>
  <c r="C62" i="12"/>
  <c r="C57" i="12"/>
  <c r="C56" i="12"/>
  <c r="P55" i="12"/>
  <c r="N55" i="12"/>
  <c r="L55" i="12"/>
  <c r="J55" i="12"/>
  <c r="H55" i="12"/>
  <c r="F55" i="12"/>
  <c r="C55" i="12"/>
  <c r="P54" i="12"/>
  <c r="N54" i="12"/>
  <c r="L54" i="12"/>
  <c r="J54" i="12"/>
  <c r="H54" i="12"/>
  <c r="F54" i="12"/>
  <c r="C54" i="12"/>
  <c r="C49" i="12"/>
  <c r="C48" i="12"/>
  <c r="P47" i="12"/>
  <c r="N47" i="12"/>
  <c r="L47" i="12"/>
  <c r="J47" i="12"/>
  <c r="H47" i="12"/>
  <c r="F47" i="12"/>
  <c r="C47" i="12"/>
  <c r="P46" i="12"/>
  <c r="N46" i="12"/>
  <c r="L46" i="12"/>
  <c r="J46" i="12"/>
  <c r="H46" i="12"/>
  <c r="F46" i="12"/>
  <c r="C46" i="12"/>
  <c r="C42" i="12"/>
  <c r="C41" i="12"/>
  <c r="C40" i="12"/>
  <c r="T8" i="12" s="1"/>
  <c r="C39" i="12"/>
  <c r="E39" i="12" s="1"/>
  <c r="C35" i="12"/>
  <c r="C34" i="12"/>
  <c r="T10" i="12" s="1"/>
  <c r="C33" i="12"/>
  <c r="E33" i="12" s="1"/>
  <c r="C32" i="12"/>
  <c r="E32" i="12" s="1"/>
  <c r="C28" i="12"/>
  <c r="T6" i="12" s="1"/>
  <c r="C27" i="12"/>
  <c r="C26" i="12"/>
  <c r="C25" i="12"/>
  <c r="C21" i="12"/>
  <c r="T20" i="12"/>
  <c r="C20" i="12"/>
  <c r="C19" i="12"/>
  <c r="T21" i="12" s="1"/>
  <c r="T18" i="12"/>
  <c r="C18" i="12"/>
  <c r="T7" i="12" s="1"/>
  <c r="T16" i="12"/>
  <c r="T14" i="12"/>
  <c r="C14" i="12"/>
  <c r="T19" i="12" s="1"/>
  <c r="C13" i="12"/>
  <c r="T24" i="12" s="1"/>
  <c r="C12" i="12"/>
  <c r="T15" i="12" s="1"/>
  <c r="C11" i="12"/>
  <c r="T5" i="12" s="1"/>
  <c r="C7" i="12"/>
  <c r="E7" i="12" s="1"/>
  <c r="C6" i="12"/>
  <c r="C5" i="12"/>
  <c r="T17" i="12" s="1"/>
  <c r="C4" i="12"/>
  <c r="T27" i="10"/>
  <c r="S27" i="10" s="1"/>
  <c r="T12" i="10"/>
  <c r="S12" i="10" s="1"/>
  <c r="T8" i="10"/>
  <c r="T11" i="10"/>
  <c r="S11" i="10" s="1"/>
  <c r="T26" i="10"/>
  <c r="T10" i="10"/>
  <c r="T13" i="10"/>
  <c r="S13" i="10" s="1"/>
  <c r="T9" i="10"/>
  <c r="U6" i="10"/>
  <c r="T6" i="10"/>
  <c r="T16" i="10"/>
  <c r="T20" i="10"/>
  <c r="S20" i="10" s="1"/>
  <c r="T25" i="10"/>
  <c r="S25" i="10" s="1"/>
  <c r="T22" i="10"/>
  <c r="T14" i="10"/>
  <c r="S14" i="10"/>
  <c r="T21" i="10"/>
  <c r="T7" i="10"/>
  <c r="S7" i="10"/>
  <c r="T19" i="10"/>
  <c r="S19" i="10" s="1"/>
  <c r="T24" i="10"/>
  <c r="S24" i="10" s="1"/>
  <c r="T15" i="10"/>
  <c r="T5" i="10"/>
  <c r="S5" i="10" s="1"/>
  <c r="T23" i="10"/>
  <c r="S10" i="10" s="1"/>
  <c r="T18" i="10"/>
  <c r="T17" i="10"/>
  <c r="S17" i="10" s="1"/>
  <c r="T4" i="10"/>
  <c r="U6" i="3"/>
  <c r="T22" i="3"/>
  <c r="T14" i="3"/>
  <c r="T21" i="3"/>
  <c r="T4" i="3"/>
  <c r="T4" i="2"/>
  <c r="C65" i="10"/>
  <c r="C64" i="10"/>
  <c r="P63" i="10"/>
  <c r="N63" i="10"/>
  <c r="L63" i="10"/>
  <c r="J63" i="10"/>
  <c r="H63" i="10"/>
  <c r="F63" i="10"/>
  <c r="C63" i="10"/>
  <c r="P62" i="10"/>
  <c r="N62" i="10"/>
  <c r="L62" i="10"/>
  <c r="J62" i="10"/>
  <c r="H62" i="10"/>
  <c r="F62" i="10"/>
  <c r="C62" i="10"/>
  <c r="C57" i="10"/>
  <c r="C56" i="10"/>
  <c r="P55" i="10"/>
  <c r="N55" i="10"/>
  <c r="L55" i="10"/>
  <c r="J55" i="10"/>
  <c r="H55" i="10"/>
  <c r="F55" i="10"/>
  <c r="C55" i="10"/>
  <c r="P54" i="10"/>
  <c r="N54" i="10"/>
  <c r="L54" i="10"/>
  <c r="J54" i="10"/>
  <c r="H54" i="10"/>
  <c r="F54" i="10"/>
  <c r="C54" i="10"/>
  <c r="C49" i="10"/>
  <c r="C48" i="10"/>
  <c r="P47" i="10"/>
  <c r="N47" i="10"/>
  <c r="L47" i="10"/>
  <c r="J47" i="10"/>
  <c r="H47" i="10"/>
  <c r="F47" i="10"/>
  <c r="C47" i="10"/>
  <c r="P46" i="10"/>
  <c r="N46" i="10"/>
  <c r="L46" i="10"/>
  <c r="J46" i="10"/>
  <c r="H46" i="10"/>
  <c r="F46" i="10"/>
  <c r="C46" i="10"/>
  <c r="C42" i="10"/>
  <c r="C41" i="10"/>
  <c r="C40" i="10"/>
  <c r="C39" i="10"/>
  <c r="C35" i="10"/>
  <c r="C34" i="10"/>
  <c r="E34" i="10" s="1"/>
  <c r="C33" i="10"/>
  <c r="C32" i="10"/>
  <c r="E32" i="10" s="1"/>
  <c r="C28" i="10"/>
  <c r="C27" i="10"/>
  <c r="N26" i="10"/>
  <c r="L26" i="10"/>
  <c r="H26" i="10"/>
  <c r="C26" i="10"/>
  <c r="E26" i="10" s="1"/>
  <c r="C25" i="10"/>
  <c r="C21" i="10"/>
  <c r="C20" i="10"/>
  <c r="C19" i="10"/>
  <c r="C18" i="10"/>
  <c r="E21" i="10" s="1"/>
  <c r="C14" i="10"/>
  <c r="C13" i="10"/>
  <c r="C12" i="10"/>
  <c r="D11" i="10" a="1"/>
  <c r="D11" i="10" s="1"/>
  <c r="U5" i="10" s="1"/>
  <c r="C11" i="10"/>
  <c r="E11" i="10" s="1"/>
  <c r="C7" i="10"/>
  <c r="C6" i="10"/>
  <c r="C5" i="10"/>
  <c r="C4" i="10"/>
  <c r="N26" i="3"/>
  <c r="L26" i="3"/>
  <c r="H26" i="3"/>
  <c r="D13" i="2"/>
  <c r="U24" i="2" s="1"/>
  <c r="C65" i="3"/>
  <c r="C64" i="3"/>
  <c r="P63" i="3"/>
  <c r="N63" i="3"/>
  <c r="L63" i="3"/>
  <c r="J63" i="3"/>
  <c r="H63" i="3"/>
  <c r="F63" i="3"/>
  <c r="C63" i="3"/>
  <c r="P62" i="3"/>
  <c r="N62" i="3"/>
  <c r="L62" i="3"/>
  <c r="J62" i="3"/>
  <c r="H62" i="3"/>
  <c r="F62" i="3"/>
  <c r="C62" i="3"/>
  <c r="C57" i="3"/>
  <c r="C56" i="3"/>
  <c r="P55" i="3"/>
  <c r="N55" i="3"/>
  <c r="L55" i="3"/>
  <c r="J55" i="3"/>
  <c r="H55" i="3"/>
  <c r="F55" i="3"/>
  <c r="C55" i="3"/>
  <c r="P54" i="3"/>
  <c r="N54" i="3"/>
  <c r="L54" i="3"/>
  <c r="J54" i="3"/>
  <c r="H54" i="3"/>
  <c r="F54" i="3"/>
  <c r="C54" i="3"/>
  <c r="C49" i="3"/>
  <c r="C48" i="3"/>
  <c r="P47" i="3"/>
  <c r="N47" i="3"/>
  <c r="L47" i="3"/>
  <c r="J47" i="3"/>
  <c r="H47" i="3"/>
  <c r="F47" i="3"/>
  <c r="C47" i="3"/>
  <c r="P46" i="3"/>
  <c r="N46" i="3"/>
  <c r="L46" i="3"/>
  <c r="J46" i="3"/>
  <c r="H46" i="3"/>
  <c r="F46" i="3"/>
  <c r="C46" i="3"/>
  <c r="C42" i="3"/>
  <c r="T27" i="3" s="1"/>
  <c r="C41" i="3"/>
  <c r="T12" i="3" s="1"/>
  <c r="C40" i="3"/>
  <c r="T8" i="3" s="1"/>
  <c r="C39" i="3"/>
  <c r="T11" i="3" s="1"/>
  <c r="C35" i="3"/>
  <c r="T26" i="3" s="1"/>
  <c r="C34" i="3"/>
  <c r="T10" i="3" s="1"/>
  <c r="C33" i="3"/>
  <c r="T13" i="3" s="1"/>
  <c r="C32" i="3"/>
  <c r="T9" i="3" s="1"/>
  <c r="C28" i="3"/>
  <c r="T6" i="3" s="1"/>
  <c r="C27" i="3"/>
  <c r="T16" i="3" s="1"/>
  <c r="C26" i="3"/>
  <c r="T20" i="3" s="1"/>
  <c r="C25" i="3"/>
  <c r="T25" i="3" s="1"/>
  <c r="C21" i="3"/>
  <c r="C20" i="3"/>
  <c r="C19" i="3"/>
  <c r="C18" i="3"/>
  <c r="T7" i="3" s="1"/>
  <c r="C14" i="3"/>
  <c r="T19" i="3" s="1"/>
  <c r="C13" i="3"/>
  <c r="T24" i="3" s="1"/>
  <c r="C12" i="3"/>
  <c r="T15" i="3" s="1"/>
  <c r="C11" i="3"/>
  <c r="T5" i="3" s="1"/>
  <c r="C7" i="3"/>
  <c r="T23" i="3" s="1"/>
  <c r="C6" i="3"/>
  <c r="T18" i="3" s="1"/>
  <c r="C5" i="3"/>
  <c r="T17" i="3" s="1"/>
  <c r="C4" i="3"/>
  <c r="C71" i="2"/>
  <c r="C70" i="2"/>
  <c r="P69" i="2"/>
  <c r="N69" i="2"/>
  <c r="L69" i="2"/>
  <c r="J69" i="2"/>
  <c r="H69" i="2"/>
  <c r="F69" i="2"/>
  <c r="C69" i="2"/>
  <c r="P68" i="2"/>
  <c r="N68" i="2"/>
  <c r="L68" i="2"/>
  <c r="J68" i="2"/>
  <c r="H68" i="2"/>
  <c r="F68" i="2"/>
  <c r="C68" i="2"/>
  <c r="C63" i="2"/>
  <c r="C62" i="2"/>
  <c r="P61" i="2"/>
  <c r="N61" i="2"/>
  <c r="L61" i="2"/>
  <c r="J61" i="2"/>
  <c r="H61" i="2"/>
  <c r="F61" i="2"/>
  <c r="C61" i="2"/>
  <c r="P60" i="2"/>
  <c r="N60" i="2"/>
  <c r="L60" i="2"/>
  <c r="J60" i="2"/>
  <c r="H60" i="2"/>
  <c r="F60" i="2"/>
  <c r="C60" i="2"/>
  <c r="C55" i="2"/>
  <c r="C54" i="2"/>
  <c r="P53" i="2"/>
  <c r="N53" i="2"/>
  <c r="L53" i="2"/>
  <c r="J53" i="2"/>
  <c r="H53" i="2"/>
  <c r="F53" i="2"/>
  <c r="C53" i="2"/>
  <c r="P52" i="2"/>
  <c r="N52" i="2"/>
  <c r="L52" i="2"/>
  <c r="J52" i="2"/>
  <c r="H52" i="2"/>
  <c r="F52" i="2"/>
  <c r="C52" i="2"/>
  <c r="E47" i="2"/>
  <c r="D47" i="2"/>
  <c r="L45" i="2" s="1"/>
  <c r="E46" i="2"/>
  <c r="J45" i="2"/>
  <c r="E45" i="2"/>
  <c r="D45" i="2"/>
  <c r="F45" i="2" s="1"/>
  <c r="E44" i="2"/>
  <c r="D44" i="2"/>
  <c r="J44" i="2" s="1"/>
  <c r="D39" i="2"/>
  <c r="N37" i="2" s="1"/>
  <c r="T23" i="2"/>
  <c r="D38" i="2"/>
  <c r="H36" i="2" s="1"/>
  <c r="E38" i="2"/>
  <c r="D37" i="2"/>
  <c r="L36" i="2" s="1"/>
  <c r="D36" i="2"/>
  <c r="J36" i="2" s="1"/>
  <c r="T21" i="2"/>
  <c r="E31" i="2"/>
  <c r="D31" i="2"/>
  <c r="U11" i="2" s="1"/>
  <c r="E30" i="2"/>
  <c r="D30" i="2"/>
  <c r="P29" i="2" s="1"/>
  <c r="E29" i="2"/>
  <c r="D29" i="2"/>
  <c r="F29" i="2" s="1"/>
  <c r="E28" i="2"/>
  <c r="D28" i="2"/>
  <c r="J28" i="2" s="1"/>
  <c r="T26" i="2"/>
  <c r="T9" i="2"/>
  <c r="D23" i="2"/>
  <c r="L21" i="2" s="1"/>
  <c r="T10" i="2"/>
  <c r="U27" i="2"/>
  <c r="T27" i="2"/>
  <c r="D22" i="2"/>
  <c r="J21" i="2" s="1"/>
  <c r="D21" i="2"/>
  <c r="L20" i="2" s="1"/>
  <c r="E21" i="2"/>
  <c r="T12" i="2"/>
  <c r="D20" i="2"/>
  <c r="U22" i="2" s="1"/>
  <c r="T16" i="2"/>
  <c r="T15" i="2"/>
  <c r="Q15" i="2"/>
  <c r="D15" i="2"/>
  <c r="U17" i="2" s="1"/>
  <c r="T17" i="2"/>
  <c r="Q14" i="2"/>
  <c r="D14" i="2"/>
  <c r="P13" i="2" s="1"/>
  <c r="E14" i="2"/>
  <c r="Q13" i="2"/>
  <c r="T24" i="2"/>
  <c r="T7" i="2"/>
  <c r="Q12" i="2"/>
  <c r="D12" i="2"/>
  <c r="J12" i="2" s="1"/>
  <c r="T8" i="2"/>
  <c r="T5" i="2"/>
  <c r="Q7" i="2"/>
  <c r="D7" i="2"/>
  <c r="H5" i="2" s="1"/>
  <c r="T18" i="2"/>
  <c r="T11" i="2"/>
  <c r="Q6" i="2"/>
  <c r="P5" i="2"/>
  <c r="T25" i="2"/>
  <c r="T6" i="2"/>
  <c r="Q5" i="2"/>
  <c r="D5" i="2"/>
  <c r="U19" i="2" s="1"/>
  <c r="T19" i="2"/>
  <c r="Q4" i="2"/>
  <c r="D4" i="2"/>
  <c r="J4" i="2" s="1"/>
  <c r="D32" i="10" l="1" a="1"/>
  <c r="D32" i="10" s="1"/>
  <c r="U9" i="10" s="1"/>
  <c r="D32" i="3" a="1"/>
  <c r="D32" i="3" s="1"/>
  <c r="U9" i="3" s="1"/>
  <c r="N29" i="2"/>
  <c r="D35" i="10" a="1"/>
  <c r="D35" i="10" s="1"/>
  <c r="U26" i="10" s="1"/>
  <c r="N21" i="2"/>
  <c r="D14" i="10" a="1"/>
  <c r="D14" i="10" s="1"/>
  <c r="D33" i="3" a="1"/>
  <c r="D33" i="3" s="1"/>
  <c r="U13" i="3" s="1"/>
  <c r="D39" i="10" a="1"/>
  <c r="D39" i="10" s="1"/>
  <c r="U11" i="10" s="1"/>
  <c r="D6" i="10" a="1"/>
  <c r="D6" i="10" s="1"/>
  <c r="J5" i="10" s="1"/>
  <c r="D40" i="10" a="1"/>
  <c r="D40" i="10" s="1"/>
  <c r="U8" i="10" s="1"/>
  <c r="D26" i="10" a="1"/>
  <c r="D26" i="10" s="1"/>
  <c r="U20" i="10" s="1"/>
  <c r="D41" i="10" a="1"/>
  <c r="D41" i="10" s="1"/>
  <c r="U12" i="10" s="1"/>
  <c r="D4" i="3" a="1"/>
  <c r="D4" i="3" s="1"/>
  <c r="U4" i="3" s="1"/>
  <c r="U15" i="2"/>
  <c r="D12" i="10" a="1"/>
  <c r="D12" i="10" s="1"/>
  <c r="L11" i="10" s="1"/>
  <c r="N4" i="2"/>
  <c r="D19" i="10" a="1"/>
  <c r="D19" i="10" s="1"/>
  <c r="U21" i="10" s="1"/>
  <c r="D5" i="10" a="1"/>
  <c r="D5" i="10" s="1"/>
  <c r="U17" i="10" s="1"/>
  <c r="F44" i="2"/>
  <c r="N20" i="2"/>
  <c r="L29" i="2"/>
  <c r="H44" i="2"/>
  <c r="D41" i="3" a="1"/>
  <c r="D41" i="3" s="1"/>
  <c r="J40" i="3" s="1"/>
  <c r="H12" i="10"/>
  <c r="N12" i="10"/>
  <c r="U19" i="10"/>
  <c r="P5" i="10"/>
  <c r="U18" i="10"/>
  <c r="D40" i="3" a="1"/>
  <c r="D40" i="3" s="1"/>
  <c r="U8" i="3" s="1"/>
  <c r="D18" i="10" a="1"/>
  <c r="D18" i="10" s="1"/>
  <c r="J18" i="10" s="1"/>
  <c r="P21" i="2"/>
  <c r="P45" i="2"/>
  <c r="D35" i="3" a="1"/>
  <c r="D35" i="3" s="1"/>
  <c r="U26" i="3" s="1"/>
  <c r="U6" i="2"/>
  <c r="D34" i="3" a="1"/>
  <c r="D34" i="3" s="1"/>
  <c r="U10" i="3" s="1"/>
  <c r="D7" i="10" a="1"/>
  <c r="D7" i="10" s="1"/>
  <c r="U23" i="10" s="1"/>
  <c r="D42" i="10" a="1"/>
  <c r="D42" i="10" s="1"/>
  <c r="U27" i="10" s="1"/>
  <c r="D25" i="3" a="1"/>
  <c r="D25" i="3" s="1"/>
  <c r="U25" i="3" s="1"/>
  <c r="D26" i="3" a="1"/>
  <c r="D26" i="3" s="1"/>
  <c r="U20" i="3" s="1"/>
  <c r="D20" i="10" a="1"/>
  <c r="D20" i="10" s="1"/>
  <c r="D33" i="10" a="1"/>
  <c r="D33" i="10" s="1"/>
  <c r="U13" i="10" s="1"/>
  <c r="U14" i="2"/>
  <c r="D34" i="10" a="1"/>
  <c r="D34" i="10" s="1"/>
  <c r="U10" i="10" s="1"/>
  <c r="U16" i="2"/>
  <c r="D21" i="10" a="1"/>
  <c r="D21" i="10" s="1"/>
  <c r="U22" i="10" s="1"/>
  <c r="H20" i="2"/>
  <c r="P28" i="2"/>
  <c r="D13" i="10" a="1"/>
  <c r="D13" i="10" s="1"/>
  <c r="U24" i="10" s="1"/>
  <c r="D25" i="10" a="1"/>
  <c r="D25" i="10" s="1"/>
  <c r="U25" i="10" s="1"/>
  <c r="D4" i="10" a="1"/>
  <c r="D4" i="10" s="1"/>
  <c r="J4" i="10" s="1"/>
  <c r="S25" i="15"/>
  <c r="S4" i="15"/>
  <c r="S13" i="15"/>
  <c r="S6" i="15"/>
  <c r="E21" i="15"/>
  <c r="T10" i="15"/>
  <c r="E12" i="15"/>
  <c r="E40" i="15"/>
  <c r="E18" i="15"/>
  <c r="E6" i="15"/>
  <c r="E11" i="15"/>
  <c r="T23" i="15"/>
  <c r="T12" i="15"/>
  <c r="E27" i="15"/>
  <c r="T24" i="15"/>
  <c r="S24" i="15" s="1"/>
  <c r="E26" i="15"/>
  <c r="E39" i="15"/>
  <c r="S16" i="13"/>
  <c r="S5" i="13"/>
  <c r="S27" i="13"/>
  <c r="S20" i="13"/>
  <c r="S22" i="13"/>
  <c r="S26" i="13"/>
  <c r="S11" i="13"/>
  <c r="S18" i="13"/>
  <c r="S23" i="13"/>
  <c r="S21" i="13"/>
  <c r="S24" i="13"/>
  <c r="S4" i="13"/>
  <c r="T17" i="13"/>
  <c r="E19" i="13"/>
  <c r="E11" i="13"/>
  <c r="S10" i="13"/>
  <c r="S6" i="13"/>
  <c r="E7" i="13"/>
  <c r="T14" i="13"/>
  <c r="S14" i="13" s="1"/>
  <c r="S7" i="13"/>
  <c r="S25" i="13"/>
  <c r="S12" i="13"/>
  <c r="S15" i="13"/>
  <c r="E20" i="12"/>
  <c r="E21" i="12"/>
  <c r="T22" i="12"/>
  <c r="E25" i="12"/>
  <c r="T25" i="12"/>
  <c r="E26" i="12"/>
  <c r="E27" i="12"/>
  <c r="E34" i="12"/>
  <c r="E35" i="12"/>
  <c r="T26" i="12"/>
  <c r="T9" i="12"/>
  <c r="T13" i="12"/>
  <c r="E41" i="12"/>
  <c r="E42" i="12"/>
  <c r="T11" i="12"/>
  <c r="T27" i="12"/>
  <c r="E4" i="12"/>
  <c r="T23" i="12"/>
  <c r="T4" i="12"/>
  <c r="E40" i="12"/>
  <c r="E13" i="12"/>
  <c r="E12" i="12"/>
  <c r="E19" i="12"/>
  <c r="E14" i="12"/>
  <c r="E18" i="12"/>
  <c r="E28" i="12"/>
  <c r="E11" i="12"/>
  <c r="E6" i="12"/>
  <c r="E5" i="12"/>
  <c r="T12" i="12"/>
  <c r="S26" i="10"/>
  <c r="S15" i="10"/>
  <c r="S22" i="10"/>
  <c r="S9" i="10"/>
  <c r="S4" i="10"/>
  <c r="S8" i="10"/>
  <c r="S23" i="10"/>
  <c r="S16" i="10"/>
  <c r="S21" i="10"/>
  <c r="S6" i="10"/>
  <c r="S18" i="10"/>
  <c r="S19" i="3"/>
  <c r="S20" i="3"/>
  <c r="S14" i="3"/>
  <c r="S18" i="3"/>
  <c r="S5" i="3"/>
  <c r="S10" i="3"/>
  <c r="S12" i="3"/>
  <c r="S11" i="3"/>
  <c r="S9" i="3"/>
  <c r="S27" i="3"/>
  <c r="S7" i="3"/>
  <c r="S24" i="3"/>
  <c r="S13" i="3"/>
  <c r="S25" i="3"/>
  <c r="S21" i="3"/>
  <c r="S15" i="3"/>
  <c r="S8" i="3"/>
  <c r="S16" i="3"/>
  <c r="S4" i="3"/>
  <c r="S26" i="3"/>
  <c r="S6" i="3"/>
  <c r="S22" i="3"/>
  <c r="S23" i="3"/>
  <c r="S17" i="3"/>
  <c r="E41" i="10"/>
  <c r="E42" i="10"/>
  <c r="E39" i="10"/>
  <c r="E40" i="10"/>
  <c r="E33" i="10"/>
  <c r="E35" i="10"/>
  <c r="E28" i="10"/>
  <c r="E25" i="10"/>
  <c r="E27" i="10"/>
  <c r="E20" i="10"/>
  <c r="E13" i="10"/>
  <c r="E14" i="10"/>
  <c r="D27" i="10" a="1"/>
  <c r="D27" i="10" s="1"/>
  <c r="P26" i="10" s="1"/>
  <c r="D27" i="3" a="1"/>
  <c r="D27" i="3" s="1"/>
  <c r="U16" i="3" s="1"/>
  <c r="J11" i="10"/>
  <c r="N11" i="10"/>
  <c r="F11" i="10"/>
  <c r="H25" i="10"/>
  <c r="F33" i="10"/>
  <c r="J32" i="10"/>
  <c r="N32" i="10"/>
  <c r="F32" i="10"/>
  <c r="L4" i="10"/>
  <c r="J39" i="10"/>
  <c r="N39" i="10"/>
  <c r="E5" i="10"/>
  <c r="E7" i="10"/>
  <c r="H4" i="10"/>
  <c r="E6" i="10"/>
  <c r="E12" i="10"/>
  <c r="L12" i="10"/>
  <c r="E18" i="10"/>
  <c r="E19" i="10"/>
  <c r="E4" i="10"/>
  <c r="E26" i="3"/>
  <c r="E19" i="3"/>
  <c r="E18" i="3"/>
  <c r="E4" i="3"/>
  <c r="E39" i="3"/>
  <c r="E35" i="3"/>
  <c r="E6" i="3"/>
  <c r="E12" i="3"/>
  <c r="E21" i="3"/>
  <c r="E20" i="3"/>
  <c r="E32" i="3"/>
  <c r="E39" i="2"/>
  <c r="E37" i="2"/>
  <c r="E36" i="2"/>
  <c r="T20" i="2"/>
  <c r="E22" i="2"/>
  <c r="E20" i="2"/>
  <c r="E4" i="2"/>
  <c r="E12" i="2"/>
  <c r="U9" i="2"/>
  <c r="H45" i="2"/>
  <c r="N45" i="2"/>
  <c r="P44" i="2"/>
  <c r="U20" i="2"/>
  <c r="P37" i="2"/>
  <c r="U21" i="2"/>
  <c r="F28" i="2"/>
  <c r="P20" i="2"/>
  <c r="F21" i="2"/>
  <c r="F20" i="2"/>
  <c r="J5" i="2"/>
  <c r="U25" i="2"/>
  <c r="N12" i="2"/>
  <c r="L13" i="2"/>
  <c r="J29" i="2"/>
  <c r="H28" i="2"/>
  <c r="U5" i="2"/>
  <c r="H13" i="2"/>
  <c r="L28" i="2"/>
  <c r="L44" i="2"/>
  <c r="N13" i="2"/>
  <c r="U12" i="2"/>
  <c r="U23" i="2"/>
  <c r="F12" i="2"/>
  <c r="U8" i="2"/>
  <c r="F4" i="2"/>
  <c r="L12" i="2"/>
  <c r="U7" i="2"/>
  <c r="J13" i="2"/>
  <c r="U26" i="2"/>
  <c r="N28" i="2"/>
  <c r="J37" i="2"/>
  <c r="N44" i="2"/>
  <c r="U10" i="2"/>
  <c r="E27" i="3"/>
  <c r="E33" i="3"/>
  <c r="E41" i="3"/>
  <c r="E5" i="2"/>
  <c r="L5" i="2"/>
  <c r="E13" i="2"/>
  <c r="H21" i="2"/>
  <c r="E23" i="2"/>
  <c r="T13" i="2"/>
  <c r="H37" i="2"/>
  <c r="E13" i="3"/>
  <c r="N5" i="2"/>
  <c r="T22" i="2"/>
  <c r="J20" i="2"/>
  <c r="U13" i="2"/>
  <c r="H29" i="2"/>
  <c r="F36" i="2"/>
  <c r="E11" i="3"/>
  <c r="E40" i="3"/>
  <c r="E42" i="3"/>
  <c r="L4" i="2"/>
  <c r="E15" i="2"/>
  <c r="E7" i="2"/>
  <c r="U18" i="2"/>
  <c r="N36" i="2"/>
  <c r="H4" i="2"/>
  <c r="P4" i="2"/>
  <c r="F5" i="2"/>
  <c r="E6" i="2"/>
  <c r="H12" i="2"/>
  <c r="P12" i="2"/>
  <c r="F13" i="2"/>
  <c r="T14" i="2"/>
  <c r="F37" i="2"/>
  <c r="P36" i="2"/>
  <c r="U4" i="2"/>
  <c r="L37" i="2"/>
  <c r="E5" i="3"/>
  <c r="E7" i="3"/>
  <c r="E14" i="3"/>
  <c r="D20" i="3" a="1"/>
  <c r="D20" i="3" s="1"/>
  <c r="U14" i="3" s="1"/>
  <c r="D21" i="3" a="1"/>
  <c r="D21" i="3" s="1"/>
  <c r="U22" i="3" s="1"/>
  <c r="E25" i="3"/>
  <c r="E28" i="3"/>
  <c r="E34" i="3"/>
  <c r="D42" i="3" a="1"/>
  <c r="D42" i="3" s="1"/>
  <c r="U27" i="3" s="1"/>
  <c r="H40" i="10" l="1"/>
  <c r="H33" i="10"/>
  <c r="L40" i="10"/>
  <c r="N33" i="10"/>
  <c r="L39" i="10"/>
  <c r="L33" i="10"/>
  <c r="P39" i="10"/>
  <c r="F40" i="10"/>
  <c r="F12" i="10"/>
  <c r="P11" i="10"/>
  <c r="U15" i="10"/>
  <c r="N4" i="10"/>
  <c r="F4" i="10"/>
  <c r="F26" i="10"/>
  <c r="P40" i="10"/>
  <c r="L25" i="10"/>
  <c r="P25" i="10"/>
  <c r="J40" i="10"/>
  <c r="N5" i="10"/>
  <c r="H39" i="10"/>
  <c r="P4" i="10"/>
  <c r="F39" i="10"/>
  <c r="F5" i="10"/>
  <c r="N40" i="10"/>
  <c r="H39" i="3"/>
  <c r="F25" i="10"/>
  <c r="N25" i="10"/>
  <c r="L18" i="10"/>
  <c r="U12" i="3"/>
  <c r="P18" i="10"/>
  <c r="F19" i="10"/>
  <c r="J12" i="10"/>
  <c r="H11" i="10"/>
  <c r="J25" i="10"/>
  <c r="P12" i="10"/>
  <c r="P40" i="3"/>
  <c r="L5" i="10"/>
  <c r="H19" i="10"/>
  <c r="L19" i="10"/>
  <c r="N19" i="10"/>
  <c r="L32" i="10"/>
  <c r="P32" i="10"/>
  <c r="H5" i="10"/>
  <c r="N18" i="10"/>
  <c r="U7" i="10"/>
  <c r="H18" i="10"/>
  <c r="P19" i="10"/>
  <c r="U14" i="10"/>
  <c r="P33" i="10"/>
  <c r="J26" i="10"/>
  <c r="U16" i="10"/>
  <c r="J33" i="10"/>
  <c r="U4" i="10"/>
  <c r="F18" i="10"/>
  <c r="J19" i="10"/>
  <c r="H32" i="10"/>
  <c r="S23" i="15"/>
  <c r="S5" i="15"/>
  <c r="S14" i="15"/>
  <c r="S10" i="15"/>
  <c r="S27" i="15"/>
  <c r="S20" i="15"/>
  <c r="S19" i="15"/>
  <c r="S9" i="15"/>
  <c r="S21" i="15"/>
  <c r="S11" i="15"/>
  <c r="S22" i="15"/>
  <c r="S16" i="15"/>
  <c r="S17" i="15"/>
  <c r="S26" i="15"/>
  <c r="S15" i="15"/>
  <c r="S18" i="15"/>
  <c r="S12" i="15"/>
  <c r="S7" i="15"/>
  <c r="S8" i="15"/>
  <c r="S9" i="13"/>
  <c r="S17" i="13"/>
  <c r="S19" i="13"/>
  <c r="S13" i="13"/>
  <c r="S8" i="13"/>
  <c r="D42" i="12"/>
  <c r="D42" i="13" s="1"/>
  <c r="D35" i="12"/>
  <c r="D40" i="13" s="1"/>
  <c r="D41" i="12"/>
  <c r="D41" i="13" s="1"/>
  <c r="D34" i="12"/>
  <c r="D39" i="13" s="1"/>
  <c r="D39" i="12"/>
  <c r="D34" i="13" s="1"/>
  <c r="D27" i="12"/>
  <c r="D32" i="13" s="1"/>
  <c r="D40" i="12"/>
  <c r="D35" i="13" s="1"/>
  <c r="D28" i="12"/>
  <c r="D33" i="13" s="1"/>
  <c r="D33" i="12"/>
  <c r="D28" i="13" s="1"/>
  <c r="D21" i="12"/>
  <c r="D26" i="13" s="1"/>
  <c r="D32" i="12"/>
  <c r="D27" i="13" s="1"/>
  <c r="D20" i="12"/>
  <c r="D25" i="13" s="1"/>
  <c r="D14" i="12"/>
  <c r="D19" i="13" s="1"/>
  <c r="D26" i="12"/>
  <c r="D21" i="13" s="1"/>
  <c r="D4" i="12"/>
  <c r="D4" i="13" s="1"/>
  <c r="S26" i="12"/>
  <c r="S9" i="12"/>
  <c r="S18" i="12"/>
  <c r="S11" i="12"/>
  <c r="S25" i="12"/>
  <c r="S5" i="12"/>
  <c r="S23" i="12"/>
  <c r="S4" i="12"/>
  <c r="S12" i="12"/>
  <c r="S27" i="12"/>
  <c r="S13" i="12"/>
  <c r="S16" i="12"/>
  <c r="S10" i="12"/>
  <c r="S24" i="12"/>
  <c r="S8" i="12"/>
  <c r="S6" i="12"/>
  <c r="S20" i="12"/>
  <c r="S17" i="12"/>
  <c r="S14" i="12"/>
  <c r="S15" i="12"/>
  <c r="S21" i="12"/>
  <c r="S7" i="12"/>
  <c r="S19" i="12"/>
  <c r="S22" i="12"/>
  <c r="D11" i="3" a="1"/>
  <c r="D11" i="3" s="1"/>
  <c r="U5" i="3" s="1"/>
  <c r="D13" i="3" a="1"/>
  <c r="D13" i="3" s="1"/>
  <c r="U24" i="3" s="1"/>
  <c r="F40" i="3"/>
  <c r="J26" i="3"/>
  <c r="D39" i="3" a="1"/>
  <c r="D39" i="3" s="1"/>
  <c r="S5" i="2"/>
  <c r="F25" i="3"/>
  <c r="D14" i="3" a="1"/>
  <c r="D14" i="3" s="1"/>
  <c r="U19" i="3" s="1"/>
  <c r="D18" i="3" a="1"/>
  <c r="D18" i="3" s="1"/>
  <c r="D7" i="3" a="1"/>
  <c r="D7" i="3" s="1"/>
  <c r="D12" i="12" s="1"/>
  <c r="D7" i="13" s="1"/>
  <c r="D5" i="3" a="1"/>
  <c r="D5" i="3" s="1"/>
  <c r="U17" i="3" s="1"/>
  <c r="N4" i="3"/>
  <c r="F4" i="3"/>
  <c r="J4" i="3"/>
  <c r="N19" i="3"/>
  <c r="H19" i="3"/>
  <c r="L19" i="3"/>
  <c r="S6" i="2"/>
  <c r="S26" i="2"/>
  <c r="P25" i="3"/>
  <c r="F26" i="3"/>
  <c r="L25" i="3"/>
  <c r="H18" i="3"/>
  <c r="J19" i="3"/>
  <c r="P19" i="3"/>
  <c r="L33" i="3"/>
  <c r="N33" i="3"/>
  <c r="H33" i="3"/>
  <c r="S12" i="2"/>
  <c r="S24" i="2"/>
  <c r="D6" i="3" a="1"/>
  <c r="D6" i="3" s="1"/>
  <c r="U18" i="3" s="1"/>
  <c r="H32" i="3"/>
  <c r="P33" i="3"/>
  <c r="J33" i="3"/>
  <c r="S27" i="2"/>
  <c r="S23" i="2"/>
  <c r="S9" i="2"/>
  <c r="S17" i="2"/>
  <c r="S10" i="2"/>
  <c r="D12" i="3" a="1"/>
  <c r="D12" i="3" s="1"/>
  <c r="U15" i="3" s="1"/>
  <c r="D19" i="3" a="1"/>
  <c r="D19" i="3" s="1"/>
  <c r="U21" i="3" s="1"/>
  <c r="J32" i="3"/>
  <c r="F32" i="3"/>
  <c r="N32" i="3"/>
  <c r="S7" i="2"/>
  <c r="S16" i="2"/>
  <c r="S21" i="2"/>
  <c r="S14" i="2"/>
  <c r="S11" i="2"/>
  <c r="S20" i="2"/>
  <c r="S19" i="2"/>
  <c r="S4" i="2"/>
  <c r="S25" i="2"/>
  <c r="L40" i="3"/>
  <c r="N40" i="3"/>
  <c r="H40" i="3"/>
  <c r="P32" i="3"/>
  <c r="L32" i="3"/>
  <c r="F33" i="3"/>
  <c r="S22" i="2"/>
  <c r="S13" i="2"/>
  <c r="S15" i="2"/>
  <c r="S8" i="2"/>
  <c r="S18" i="2"/>
  <c r="C16" i="16" l="1"/>
  <c r="D19" i="12"/>
  <c r="D14" i="13" s="1"/>
  <c r="D7" i="12"/>
  <c r="D12" i="13" s="1"/>
  <c r="D5" i="12"/>
  <c r="D5" i="13" s="1"/>
  <c r="P4" i="13" s="1"/>
  <c r="D40" i="15"/>
  <c r="L33" i="13"/>
  <c r="N33" i="13"/>
  <c r="U26" i="13"/>
  <c r="H33" i="13"/>
  <c r="N32" i="13"/>
  <c r="D27" i="15"/>
  <c r="F32" i="13"/>
  <c r="U9" i="13"/>
  <c r="J32" i="13"/>
  <c r="U7" i="3"/>
  <c r="C25" i="16" s="1"/>
  <c r="D13" i="12"/>
  <c r="D12" i="15"/>
  <c r="N5" i="13"/>
  <c r="L5" i="13"/>
  <c r="H5" i="13"/>
  <c r="U23" i="13"/>
  <c r="D11" i="12"/>
  <c r="D6" i="13" s="1"/>
  <c r="U17" i="13"/>
  <c r="D5" i="15"/>
  <c r="L4" i="13"/>
  <c r="F5" i="13"/>
  <c r="U10" i="13"/>
  <c r="D39" i="15"/>
  <c r="J33" i="13"/>
  <c r="P33" i="13"/>
  <c r="H32" i="13"/>
  <c r="L39" i="13"/>
  <c r="D35" i="15"/>
  <c r="P39" i="13"/>
  <c r="U8" i="13"/>
  <c r="F40" i="13"/>
  <c r="D42" i="15"/>
  <c r="U27" i="13"/>
  <c r="N40" i="13"/>
  <c r="L40" i="13"/>
  <c r="H40" i="13"/>
  <c r="F39" i="3"/>
  <c r="U11" i="3"/>
  <c r="N4" i="13"/>
  <c r="D4" i="15"/>
  <c r="F4" i="13"/>
  <c r="U4" i="13"/>
  <c r="J4" i="13"/>
  <c r="N39" i="13"/>
  <c r="D34" i="15"/>
  <c r="U11" i="13"/>
  <c r="J39" i="13"/>
  <c r="F39" i="13"/>
  <c r="D7" i="15"/>
  <c r="P11" i="13"/>
  <c r="F12" i="13"/>
  <c r="L11" i="13"/>
  <c r="U15" i="13"/>
  <c r="U13" i="13"/>
  <c r="D28" i="15"/>
  <c r="F33" i="13"/>
  <c r="P32" i="13"/>
  <c r="L32" i="13"/>
  <c r="D18" i="12"/>
  <c r="D13" i="13" s="1"/>
  <c r="H39" i="13"/>
  <c r="D41" i="15"/>
  <c r="U12" i="13"/>
  <c r="J40" i="13"/>
  <c r="P40" i="13"/>
  <c r="N25" i="13"/>
  <c r="U25" i="13"/>
  <c r="D20" i="15"/>
  <c r="F25" i="13"/>
  <c r="J25" i="13"/>
  <c r="U22" i="13"/>
  <c r="D26" i="15"/>
  <c r="N19" i="13"/>
  <c r="H19" i="13"/>
  <c r="L19" i="13"/>
  <c r="D14" i="15"/>
  <c r="L18" i="13"/>
  <c r="F19" i="13"/>
  <c r="P18" i="13"/>
  <c r="U21" i="13"/>
  <c r="D25" i="12"/>
  <c r="F25" i="12" s="1"/>
  <c r="F26" i="13"/>
  <c r="U20" i="13"/>
  <c r="D21" i="15"/>
  <c r="L25" i="13"/>
  <c r="P25" i="13"/>
  <c r="U19" i="13"/>
  <c r="D19" i="15"/>
  <c r="H12" i="13"/>
  <c r="L12" i="13"/>
  <c r="N12" i="13"/>
  <c r="D6" i="12"/>
  <c r="D11" i="13" s="1"/>
  <c r="H25" i="13"/>
  <c r="P26" i="13"/>
  <c r="D32" i="15"/>
  <c r="U16" i="13"/>
  <c r="J26" i="13"/>
  <c r="L5" i="3"/>
  <c r="U23" i="3"/>
  <c r="H26" i="13"/>
  <c r="N26" i="13"/>
  <c r="L26" i="13"/>
  <c r="D33" i="15"/>
  <c r="U6" i="13"/>
  <c r="C2" i="16"/>
  <c r="H32" i="12"/>
  <c r="P33" i="12"/>
  <c r="U10" i="12"/>
  <c r="J33" i="12"/>
  <c r="J40" i="12"/>
  <c r="H39" i="12"/>
  <c r="U12" i="12"/>
  <c r="P40" i="12"/>
  <c r="U26" i="12"/>
  <c r="L33" i="12"/>
  <c r="N33" i="12"/>
  <c r="H33" i="12"/>
  <c r="U27" i="12"/>
  <c r="N40" i="12"/>
  <c r="L40" i="12"/>
  <c r="H40" i="12"/>
  <c r="U6" i="12"/>
  <c r="N26" i="12"/>
  <c r="L26" i="12"/>
  <c r="H26" i="12"/>
  <c r="P26" i="12"/>
  <c r="H25" i="12"/>
  <c r="J26" i="12"/>
  <c r="U16" i="12"/>
  <c r="U8" i="12"/>
  <c r="F40" i="12"/>
  <c r="P39" i="12"/>
  <c r="L39" i="12"/>
  <c r="F39" i="12"/>
  <c r="U11" i="12"/>
  <c r="J39" i="12"/>
  <c r="N39" i="12"/>
  <c r="H19" i="12"/>
  <c r="U22" i="12"/>
  <c r="N19" i="12"/>
  <c r="L19" i="12"/>
  <c r="J19" i="12"/>
  <c r="H18" i="12"/>
  <c r="P19" i="12"/>
  <c r="U14" i="12"/>
  <c r="J32" i="12"/>
  <c r="F32" i="12"/>
  <c r="N32" i="12"/>
  <c r="U9" i="12"/>
  <c r="U13" i="12"/>
  <c r="P32" i="12"/>
  <c r="F33" i="12"/>
  <c r="L32" i="12"/>
  <c r="P25" i="12"/>
  <c r="L25" i="12"/>
  <c r="F26" i="12"/>
  <c r="U20" i="12"/>
  <c r="L12" i="12"/>
  <c r="U19" i="12"/>
  <c r="H12" i="12"/>
  <c r="N12" i="12"/>
  <c r="L18" i="12"/>
  <c r="F19" i="12"/>
  <c r="U21" i="12"/>
  <c r="P18" i="12"/>
  <c r="H5" i="12"/>
  <c r="U23" i="12"/>
  <c r="L5" i="12"/>
  <c r="N5" i="12"/>
  <c r="P11" i="12"/>
  <c r="U15" i="12"/>
  <c r="L11" i="12"/>
  <c r="F12" i="12"/>
  <c r="U17" i="12"/>
  <c r="F5" i="12"/>
  <c r="P4" i="12"/>
  <c r="L4" i="12"/>
  <c r="F4" i="12"/>
  <c r="U4" i="12"/>
  <c r="D2" i="16" s="1"/>
  <c r="N4" i="12"/>
  <c r="J4" i="12"/>
  <c r="F11" i="3"/>
  <c r="J12" i="3"/>
  <c r="N11" i="3"/>
  <c r="H11" i="3"/>
  <c r="F18" i="3"/>
  <c r="J11" i="3"/>
  <c r="P12" i="3"/>
  <c r="J18" i="3"/>
  <c r="N18" i="3"/>
  <c r="J25" i="3"/>
  <c r="P26" i="3"/>
  <c r="P39" i="3"/>
  <c r="H25" i="3"/>
  <c r="L39" i="3"/>
  <c r="H12" i="3"/>
  <c r="N25" i="3"/>
  <c r="N12" i="3"/>
  <c r="L12" i="3"/>
  <c r="J39" i="3"/>
  <c r="N39" i="3"/>
  <c r="P4" i="3"/>
  <c r="F5" i="3"/>
  <c r="L4" i="3"/>
  <c r="H5" i="3"/>
  <c r="N5" i="3"/>
  <c r="F19" i="3"/>
  <c r="P18" i="3"/>
  <c r="L18" i="3"/>
  <c r="F12" i="3"/>
  <c r="L11" i="3"/>
  <c r="P11" i="3"/>
  <c r="H4" i="3"/>
  <c r="P5" i="3"/>
  <c r="J5" i="3"/>
  <c r="J18" i="12" l="1"/>
  <c r="C22" i="16"/>
  <c r="C21" i="16"/>
  <c r="C13" i="16"/>
  <c r="C6" i="16"/>
  <c r="C18" i="16"/>
  <c r="C11" i="16"/>
  <c r="C10" i="16"/>
  <c r="U7" i="12"/>
  <c r="U5" i="12"/>
  <c r="D19" i="16" s="1"/>
  <c r="J40" i="15"/>
  <c r="H39" i="15"/>
  <c r="P40" i="15"/>
  <c r="U12" i="15"/>
  <c r="D6" i="15"/>
  <c r="N11" i="13"/>
  <c r="J11" i="13"/>
  <c r="U5" i="13"/>
  <c r="F11" i="13"/>
  <c r="U6" i="15"/>
  <c r="N26" i="15"/>
  <c r="L26" i="15"/>
  <c r="H26" i="15"/>
  <c r="U19" i="15"/>
  <c r="N12" i="15"/>
  <c r="L12" i="15"/>
  <c r="H12" i="15"/>
  <c r="U11" i="15"/>
  <c r="N39" i="15"/>
  <c r="J39" i="15"/>
  <c r="F39" i="15"/>
  <c r="H4" i="12"/>
  <c r="J25" i="12"/>
  <c r="U13" i="15"/>
  <c r="F33" i="15"/>
  <c r="P32" i="15"/>
  <c r="L32" i="15"/>
  <c r="U18" i="12"/>
  <c r="J5" i="12"/>
  <c r="N25" i="12"/>
  <c r="P18" i="15"/>
  <c r="F19" i="15"/>
  <c r="L18" i="15"/>
  <c r="U21" i="15"/>
  <c r="C9" i="16"/>
  <c r="U16" i="15"/>
  <c r="H25" i="15"/>
  <c r="P26" i="15"/>
  <c r="J26" i="15"/>
  <c r="F11" i="12"/>
  <c r="P25" i="15"/>
  <c r="F26" i="15"/>
  <c r="U20" i="15"/>
  <c r="L25" i="15"/>
  <c r="C5" i="16"/>
  <c r="U17" i="15"/>
  <c r="P4" i="15"/>
  <c r="F5" i="15"/>
  <c r="L4" i="15"/>
  <c r="J33" i="15"/>
  <c r="P33" i="15"/>
  <c r="U10" i="15"/>
  <c r="H32" i="15"/>
  <c r="P5" i="12"/>
  <c r="N11" i="12"/>
  <c r="C17" i="16"/>
  <c r="C20" i="16"/>
  <c r="C8" i="16"/>
  <c r="H5" i="15"/>
  <c r="L5" i="15"/>
  <c r="U23" i="15"/>
  <c r="N5" i="15"/>
  <c r="H40" i="15"/>
  <c r="U27" i="15"/>
  <c r="N40" i="15"/>
  <c r="L40" i="15"/>
  <c r="J5" i="13"/>
  <c r="D11" i="15"/>
  <c r="U18" i="13"/>
  <c r="H4" i="13"/>
  <c r="P5" i="13"/>
  <c r="J11" i="12"/>
  <c r="U14" i="15"/>
  <c r="H18" i="15"/>
  <c r="J19" i="15"/>
  <c r="P19" i="15"/>
  <c r="N19" i="15"/>
  <c r="H19" i="15"/>
  <c r="L19" i="15"/>
  <c r="U22" i="15"/>
  <c r="U8" i="15"/>
  <c r="P39" i="15"/>
  <c r="L39" i="15"/>
  <c r="F40" i="15"/>
  <c r="U25" i="12"/>
  <c r="D20" i="13"/>
  <c r="C7" i="16"/>
  <c r="C3" i="16"/>
  <c r="E2" i="16"/>
  <c r="C14" i="16"/>
  <c r="P11" i="15"/>
  <c r="L11" i="15"/>
  <c r="F12" i="15"/>
  <c r="U15" i="15"/>
  <c r="L33" i="15"/>
  <c r="N33" i="15"/>
  <c r="H33" i="15"/>
  <c r="U26" i="15"/>
  <c r="N32" i="15"/>
  <c r="U9" i="15"/>
  <c r="J32" i="15"/>
  <c r="F32" i="15"/>
  <c r="U24" i="13"/>
  <c r="D18" i="15"/>
  <c r="J12" i="13"/>
  <c r="H11" i="13"/>
  <c r="P12" i="13"/>
  <c r="C19" i="16"/>
  <c r="F18" i="12"/>
  <c r="C15" i="16"/>
  <c r="P12" i="12"/>
  <c r="D18" i="13"/>
  <c r="U24" i="12"/>
  <c r="H11" i="12"/>
  <c r="J12" i="12"/>
  <c r="N18" i="12"/>
  <c r="U4" i="15"/>
  <c r="J4" i="15"/>
  <c r="N4" i="15"/>
  <c r="F4" i="15"/>
  <c r="C12" i="16"/>
  <c r="D20" i="16" l="1"/>
  <c r="D13" i="16"/>
  <c r="D10" i="16"/>
  <c r="D7" i="16"/>
  <c r="D22" i="16"/>
  <c r="D9" i="16"/>
  <c r="D21" i="16"/>
  <c r="D18" i="16"/>
  <c r="D15" i="16"/>
  <c r="D25" i="16"/>
  <c r="D3" i="16"/>
  <c r="D12" i="16"/>
  <c r="D11" i="16"/>
  <c r="D14" i="16"/>
  <c r="D6" i="16"/>
  <c r="D16" i="16"/>
  <c r="J19" i="13"/>
  <c r="D25" i="15"/>
  <c r="P19" i="13"/>
  <c r="H18" i="13"/>
  <c r="U14" i="13"/>
  <c r="E10" i="16" s="1"/>
  <c r="J18" i="15"/>
  <c r="N18" i="15"/>
  <c r="F18" i="15"/>
  <c r="U7" i="15"/>
  <c r="F2" i="16"/>
  <c r="G2" i="16" s="1"/>
  <c r="U5" i="15"/>
  <c r="F12" i="16" s="1"/>
  <c r="N11" i="15"/>
  <c r="J11" i="15"/>
  <c r="F11" i="15"/>
  <c r="U18" i="15"/>
  <c r="F11" i="16" s="1"/>
  <c r="H4" i="15"/>
  <c r="J5" i="15"/>
  <c r="P5" i="15"/>
  <c r="D13" i="15"/>
  <c r="U7" i="13"/>
  <c r="J18" i="13"/>
  <c r="F18" i="13"/>
  <c r="N18" i="13"/>
  <c r="D5" i="16"/>
  <c r="D8" i="16"/>
  <c r="D17" i="16"/>
  <c r="D23" i="16"/>
  <c r="C23" i="16"/>
  <c r="E16" i="16" l="1"/>
  <c r="F22" i="16"/>
  <c r="F9" i="16"/>
  <c r="F23" i="16"/>
  <c r="F19" i="16"/>
  <c r="F21" i="16"/>
  <c r="E23" i="16"/>
  <c r="F13" i="16"/>
  <c r="F10" i="16"/>
  <c r="G10" i="16" s="1"/>
  <c r="N25" i="15"/>
  <c r="U25" i="15"/>
  <c r="F25" i="16" s="1"/>
  <c r="F25" i="15"/>
  <c r="J25" i="15"/>
  <c r="F3" i="16"/>
  <c r="F17" i="16"/>
  <c r="F15" i="16"/>
  <c r="F14" i="16"/>
  <c r="E3" i="16"/>
  <c r="E8" i="16"/>
  <c r="E15" i="16"/>
  <c r="E9" i="16"/>
  <c r="E12" i="16"/>
  <c r="G12" i="16" s="1"/>
  <c r="E13" i="16"/>
  <c r="E22" i="16"/>
  <c r="E25" i="16"/>
  <c r="E5" i="16"/>
  <c r="E21" i="16"/>
  <c r="G21" i="16" s="1"/>
  <c r="E20" i="16"/>
  <c r="G20" i="16" s="1"/>
  <c r="E11" i="16"/>
  <c r="G11" i="16" s="1"/>
  <c r="E6" i="16"/>
  <c r="G6" i="16" s="1"/>
  <c r="E14" i="16"/>
  <c r="E7" i="16"/>
  <c r="E18" i="16"/>
  <c r="E19" i="16"/>
  <c r="F16" i="16"/>
  <c r="H11" i="15"/>
  <c r="U24" i="15"/>
  <c r="P12" i="15"/>
  <c r="J12" i="15"/>
  <c r="F6" i="16"/>
  <c r="F20" i="16"/>
  <c r="F7" i="16"/>
  <c r="E17" i="16"/>
  <c r="E4" i="16"/>
  <c r="C4" i="16"/>
  <c r="D4" i="16"/>
  <c r="C24" i="16"/>
  <c r="F24" i="16"/>
  <c r="E24" i="16"/>
  <c r="D24" i="16"/>
  <c r="G16" i="16" l="1"/>
  <c r="G14" i="16"/>
  <c r="G23" i="16"/>
  <c r="G9" i="16"/>
  <c r="F18" i="16"/>
  <c r="G18" i="16" s="1"/>
  <c r="G24" i="16"/>
  <c r="G15" i="16"/>
  <c r="G13" i="16"/>
  <c r="G17" i="16"/>
  <c r="F8" i="16"/>
  <c r="G8" i="16" s="1"/>
  <c r="G19" i="16"/>
  <c r="G22" i="16"/>
  <c r="F4" i="16"/>
  <c r="G4" i="16" s="1"/>
  <c r="G7" i="16"/>
  <c r="G25" i="16"/>
  <c r="F5" i="16"/>
  <c r="G5" i="16" s="1"/>
  <c r="G3" i="16"/>
  <c r="H23" i="16" l="1"/>
  <c r="H8" i="16"/>
  <c r="H12" i="16"/>
  <c r="H16" i="16"/>
  <c r="H21" i="16"/>
  <c r="H11" i="16"/>
  <c r="H17" i="16"/>
  <c r="H18" i="16"/>
  <c r="H5" i="16"/>
  <c r="H25" i="16"/>
  <c r="H7" i="16"/>
  <c r="H9" i="16"/>
  <c r="H22" i="16"/>
  <c r="H13" i="16"/>
  <c r="H15" i="16"/>
  <c r="H24" i="16"/>
  <c r="H3" i="16"/>
  <c r="H2" i="16"/>
  <c r="H6" i="16"/>
  <c r="H20" i="16"/>
  <c r="H4" i="16"/>
  <c r="H10" i="16"/>
  <c r="H19" i="16"/>
  <c r="H14" i="16"/>
</calcChain>
</file>

<file path=xl/sharedStrings.xml><?xml version="1.0" encoding="utf-8"?>
<sst xmlns="http://schemas.openxmlformats.org/spreadsheetml/2006/main" count="633" uniqueCount="65">
  <si>
    <t xml:space="preserve">Jugadores inscritos </t>
  </si>
  <si>
    <t>Cancha 1</t>
  </si>
  <si>
    <t>Puntos</t>
  </si>
  <si>
    <t>Jugadores</t>
  </si>
  <si>
    <t>Set 1</t>
  </si>
  <si>
    <t>Set 2</t>
  </si>
  <si>
    <t>Set 3</t>
  </si>
  <si>
    <t>anotados</t>
  </si>
  <si>
    <t>Ranking</t>
  </si>
  <si>
    <t>VS</t>
  </si>
  <si>
    <t>Cancha 2</t>
  </si>
  <si>
    <t>Cancha 3</t>
  </si>
  <si>
    <t>Cancha 4</t>
  </si>
  <si>
    <t>Cancha 5</t>
  </si>
  <si>
    <t>Cancha 6</t>
  </si>
  <si>
    <t>Cancha 7</t>
  </si>
  <si>
    <t>Jugador 1</t>
  </si>
  <si>
    <t>Jugador 2</t>
  </si>
  <si>
    <t>Jugador 3</t>
  </si>
  <si>
    <t>Jugador 4</t>
  </si>
  <si>
    <t>Cancha 8</t>
  </si>
  <si>
    <t>Cancha 9</t>
  </si>
  <si>
    <t>Volado</t>
  </si>
  <si>
    <t>Ranking de la jornada</t>
  </si>
  <si>
    <t>MAURICIO ALEJANDRO BAUTISTA</t>
  </si>
  <si>
    <t>MARIANO GOMEZ VUILLEUMIER</t>
  </si>
  <si>
    <t xml:space="preserve">NICOLAS MAXIMILIANO BRILL HERRERA </t>
  </si>
  <si>
    <t>MARIANO NAVARRO LEAÑO</t>
  </si>
  <si>
    <t xml:space="preserve">IKER FRANCISCO NORIEGA JIMENEZ </t>
  </si>
  <si>
    <t>ELISA CAROLINA DIAZ LAGUNA</t>
  </si>
  <si>
    <t xml:space="preserve">ALONSO CISNEROS SANCHEZ </t>
  </si>
  <si>
    <t>MAXIMILIANO HERNÁNDEZ OROZCO</t>
  </si>
  <si>
    <t>EMILIO MATEO OLIVARES CORTÉS</t>
  </si>
  <si>
    <t>DIEGO PATRICIO FERNANDEZ VIERA</t>
  </si>
  <si>
    <t xml:space="preserve">JESUS ANTONIO SEPULVEDA RODRIGUEZ </t>
  </si>
  <si>
    <t>JOSUÉ SANTIAGO PÉREZ MEDINA</t>
  </si>
  <si>
    <t>MIGUEL ALCARAZ AMEZCUA</t>
  </si>
  <si>
    <t>ALEJANDRO CAMARENA LOPEZ</t>
  </si>
  <si>
    <t>CAMILO RODRIGUEZ PACHECO</t>
  </si>
  <si>
    <t>ESTEFANO ROLANDO BECERRA HERNANDEZ</t>
  </si>
  <si>
    <t>ALBERTO ROBLES ARMENTA</t>
  </si>
  <si>
    <t>LUCAS CONTRERAS PADRÓN</t>
  </si>
  <si>
    <t>CHRISTIAN ULISES ACOSTA LOMELI</t>
  </si>
  <si>
    <t>LEO LUCERO KOLB</t>
  </si>
  <si>
    <t>ADRIANA ESPINOZA SALDAÑA</t>
  </si>
  <si>
    <t>CANCHAS</t>
  </si>
  <si>
    <t>Cancha 1    18:00 HS</t>
  </si>
  <si>
    <t>Cancha 2 18:00 HS</t>
  </si>
  <si>
    <t>Cancha 3 18:00 HS</t>
  </si>
  <si>
    <t>Cancha 4 17:00 HS</t>
  </si>
  <si>
    <t>Cancha 5 17:00 HS</t>
  </si>
  <si>
    <t>Cancha 6 17:00 HS</t>
  </si>
  <si>
    <t>IAN DE LA BARQUERA</t>
  </si>
  <si>
    <t>MAURICIO LOZANO CASTILLERO</t>
  </si>
  <si>
    <t>CANCHA 1</t>
  </si>
  <si>
    <t>JOSE EMILIANO VAZQUEZ NUÑO</t>
  </si>
  <si>
    <t>BAJO</t>
  </si>
  <si>
    <t>J1</t>
  </si>
  <si>
    <t>J2</t>
  </si>
  <si>
    <t>J3</t>
  </si>
  <si>
    <t>J4</t>
  </si>
  <si>
    <t>J5</t>
  </si>
  <si>
    <t>Total</t>
  </si>
  <si>
    <t>Lugar</t>
  </si>
  <si>
    <t>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</si>
</sst>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0" xfId="0" applyFont="1" applyAlignment="1">
      <alignment horizontal="center" vertical="center"/>
    </xf>
    <xf numFmtId="0" fontId="2" fillId="0" borderId="8" xfId="0" applyFont="1" applyBorder="1"/>
    <xf numFmtId="0" fontId="3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/>
    <xf numFmtId="0" fontId="5" fillId="0" borderId="0" xfId="0" applyFont="1"/>
    <xf numFmtId="0" fontId="2" fillId="0" borderId="13" xfId="0" applyFont="1" applyBorder="1"/>
    <xf numFmtId="0" fontId="2" fillId="0" borderId="14" xfId="0" applyFont="1" applyBorder="1"/>
    <xf numFmtId="0" fontId="3" fillId="2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2" fillId="0" borderId="29" xfId="0" applyFont="1" applyBorder="1"/>
    <xf numFmtId="0" fontId="0" fillId="0" borderId="30" xfId="0" applyBorder="1"/>
    <xf numFmtId="0" fontId="2" fillId="0" borderId="21" xfId="0" applyFont="1" applyBorder="1" applyAlignment="1">
      <alignment horizontal="center" vertical="center"/>
    </xf>
    <xf numFmtId="0" fontId="4" fillId="0" borderId="17" xfId="0" applyFont="1" applyBorder="1"/>
    <xf numFmtId="0" fontId="2" fillId="0" borderId="5" xfId="0" applyFont="1" applyBorder="1" applyAlignment="1">
      <alignment horizontal="center" vertical="center"/>
    </xf>
    <xf numFmtId="0" fontId="4" fillId="0" borderId="7" xfId="0" applyFont="1" applyBorder="1"/>
    <xf numFmtId="0" fontId="2" fillId="0" borderId="20" xfId="0" applyFont="1" applyBorder="1" applyAlignment="1">
      <alignment horizontal="center" vertical="center"/>
    </xf>
    <xf numFmtId="0" fontId="4" fillId="0" borderId="16" xfId="0" applyFont="1" applyBorder="1"/>
    <xf numFmtId="0" fontId="2" fillId="0" borderId="1" xfId="0" applyFont="1" applyBorder="1" applyAlignment="1">
      <alignment horizontal="center" vertical="center"/>
    </xf>
    <xf numFmtId="0" fontId="4" fillId="0" borderId="5" xfId="0" applyFont="1" applyBorder="1"/>
    <xf numFmtId="0" fontId="3" fillId="2" borderId="1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28" xfId="0" applyFont="1" applyBorder="1"/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26" xfId="0" applyFont="1" applyBorder="1"/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85"/>
  <sheetViews>
    <sheetView workbookViewId="0">
      <selection activeCell="B3" sqref="B3:B26"/>
    </sheetView>
  </sheetViews>
  <sheetFormatPr baseColWidth="10" defaultColWidth="14.44140625" defaultRowHeight="15" customHeight="1" x14ac:dyDescent="0.3"/>
  <cols>
    <col min="1" max="1" width="10.6640625" customWidth="1"/>
    <col min="2" max="2" width="18.33203125" customWidth="1"/>
    <col min="3" max="26" width="10.6640625" customWidth="1"/>
  </cols>
  <sheetData>
    <row r="2" spans="1:5" ht="14.4" x14ac:dyDescent="0.3">
      <c r="A2" s="31" t="s">
        <v>45</v>
      </c>
      <c r="B2" s="1" t="s">
        <v>0</v>
      </c>
    </row>
    <row r="3" spans="1:5" ht="14.4" x14ac:dyDescent="0.3">
      <c r="A3">
        <v>1</v>
      </c>
      <c r="B3" s="16" t="s">
        <v>24</v>
      </c>
      <c r="E3">
        <v>1</v>
      </c>
    </row>
    <row r="4" spans="1:5" ht="14.4" x14ac:dyDescent="0.3">
      <c r="A4">
        <v>1</v>
      </c>
      <c r="B4" s="16" t="s">
        <v>25</v>
      </c>
      <c r="E4">
        <v>1</v>
      </c>
    </row>
    <row r="5" spans="1:5" ht="14.4" x14ac:dyDescent="0.3">
      <c r="A5">
        <v>1</v>
      </c>
      <c r="B5" s="16" t="s">
        <v>26</v>
      </c>
      <c r="E5">
        <v>1</v>
      </c>
    </row>
    <row r="6" spans="1:5" ht="14.4" x14ac:dyDescent="0.3">
      <c r="A6">
        <v>2</v>
      </c>
      <c r="B6" s="16" t="s">
        <v>27</v>
      </c>
      <c r="E6">
        <v>1</v>
      </c>
    </row>
    <row r="7" spans="1:5" ht="14.4" x14ac:dyDescent="0.3">
      <c r="A7">
        <v>2</v>
      </c>
      <c r="B7" s="16" t="s">
        <v>28</v>
      </c>
    </row>
    <row r="8" spans="1:5" ht="14.4" x14ac:dyDescent="0.3">
      <c r="A8">
        <v>2</v>
      </c>
      <c r="B8" s="16" t="s">
        <v>29</v>
      </c>
      <c r="E8">
        <v>1</v>
      </c>
    </row>
    <row r="9" spans="1:5" ht="14.4" x14ac:dyDescent="0.3">
      <c r="A9">
        <v>2</v>
      </c>
      <c r="B9" s="16" t="s">
        <v>30</v>
      </c>
      <c r="E9">
        <v>1</v>
      </c>
    </row>
    <row r="10" spans="1:5" ht="14.4" x14ac:dyDescent="0.3">
      <c r="A10">
        <v>3</v>
      </c>
      <c r="B10" s="16" t="s">
        <v>31</v>
      </c>
      <c r="E10">
        <v>1</v>
      </c>
    </row>
    <row r="11" spans="1:5" ht="14.4" x14ac:dyDescent="0.3">
      <c r="A11">
        <v>3</v>
      </c>
      <c r="B11" s="16" t="s">
        <v>32</v>
      </c>
      <c r="E11">
        <v>1</v>
      </c>
    </row>
    <row r="12" spans="1:5" ht="14.4" x14ac:dyDescent="0.3">
      <c r="A12">
        <v>3</v>
      </c>
      <c r="B12" s="16" t="s">
        <v>33</v>
      </c>
      <c r="E12">
        <v>1</v>
      </c>
    </row>
    <row r="13" spans="1:5" ht="14.4" x14ac:dyDescent="0.3">
      <c r="A13">
        <v>3</v>
      </c>
      <c r="B13" s="16" t="s">
        <v>34</v>
      </c>
      <c r="E13">
        <v>1</v>
      </c>
    </row>
    <row r="14" spans="1:5" ht="14.4" x14ac:dyDescent="0.3">
      <c r="A14">
        <v>4</v>
      </c>
      <c r="B14" s="16" t="s">
        <v>35</v>
      </c>
    </row>
    <row r="15" spans="1:5" ht="14.4" x14ac:dyDescent="0.3">
      <c r="A15">
        <v>4</v>
      </c>
      <c r="B15" s="16" t="s">
        <v>36</v>
      </c>
      <c r="E15">
        <v>1</v>
      </c>
    </row>
    <row r="16" spans="1:5" ht="14.4" x14ac:dyDescent="0.3">
      <c r="A16">
        <v>4</v>
      </c>
      <c r="B16" s="16" t="s">
        <v>37</v>
      </c>
      <c r="E16">
        <v>1</v>
      </c>
    </row>
    <row r="17" spans="1:5" ht="14.4" x14ac:dyDescent="0.3">
      <c r="A17">
        <v>4</v>
      </c>
      <c r="B17" s="16" t="s">
        <v>38</v>
      </c>
      <c r="E17">
        <v>1</v>
      </c>
    </row>
    <row r="18" spans="1:5" ht="14.4" x14ac:dyDescent="0.3">
      <c r="A18">
        <v>5</v>
      </c>
      <c r="B18" s="16" t="s">
        <v>39</v>
      </c>
      <c r="E18">
        <v>1</v>
      </c>
    </row>
    <row r="19" spans="1:5" ht="14.4" x14ac:dyDescent="0.3">
      <c r="A19">
        <v>5</v>
      </c>
      <c r="B19" s="16" t="s">
        <v>55</v>
      </c>
      <c r="E19">
        <v>1</v>
      </c>
    </row>
    <row r="20" spans="1:5" ht="15.75" customHeight="1" x14ac:dyDescent="0.3">
      <c r="A20">
        <v>5</v>
      </c>
      <c r="B20" s="16" t="s">
        <v>40</v>
      </c>
      <c r="E20">
        <v>1</v>
      </c>
    </row>
    <row r="21" spans="1:5" ht="15.75" customHeight="1" x14ac:dyDescent="0.3">
      <c r="A21">
        <v>5</v>
      </c>
      <c r="B21" s="16" t="s">
        <v>41</v>
      </c>
    </row>
    <row r="22" spans="1:5" ht="15.75" customHeight="1" x14ac:dyDescent="0.3">
      <c r="A22">
        <v>6</v>
      </c>
      <c r="B22" s="16" t="s">
        <v>42</v>
      </c>
    </row>
    <row r="23" spans="1:5" ht="15.75" customHeight="1" x14ac:dyDescent="0.3">
      <c r="A23">
        <v>6</v>
      </c>
      <c r="B23" s="16" t="s">
        <v>43</v>
      </c>
      <c r="E23">
        <v>1</v>
      </c>
    </row>
    <row r="24" spans="1:5" ht="15.75" customHeight="1" x14ac:dyDescent="0.3">
      <c r="A24">
        <v>6</v>
      </c>
      <c r="B24" s="16" t="s">
        <v>44</v>
      </c>
      <c r="E24">
        <v>1</v>
      </c>
    </row>
    <row r="25" spans="1:5" ht="15.75" customHeight="1" x14ac:dyDescent="0.3">
      <c r="B25" t="s">
        <v>53</v>
      </c>
    </row>
    <row r="26" spans="1:5" ht="15.75" customHeight="1" x14ac:dyDescent="0.3">
      <c r="B26" t="s">
        <v>52</v>
      </c>
    </row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V1000"/>
  <sheetViews>
    <sheetView topLeftCell="N1" zoomScale="81" zoomScaleNormal="100" workbookViewId="0">
      <selection activeCell="D47" sqref="D47"/>
    </sheetView>
  </sheetViews>
  <sheetFormatPr baseColWidth="10" defaultColWidth="14.44140625" defaultRowHeight="15" customHeight="1" x14ac:dyDescent="0.3"/>
  <cols>
    <col min="1" max="3" width="10.6640625" customWidth="1"/>
    <col min="4" max="4" width="41.44140625" bestFit="1" customWidth="1"/>
    <col min="5" max="5" width="3.6640625" customWidth="1"/>
    <col min="6" max="6" width="39.6640625" bestFit="1" customWidth="1"/>
    <col min="7" max="7" width="10.6640625" customWidth="1"/>
    <col min="8" max="8" width="37.33203125" bestFit="1" customWidth="1"/>
    <col min="9" max="9" width="3.6640625" customWidth="1"/>
    <col min="10" max="10" width="39.6640625" bestFit="1" customWidth="1"/>
    <col min="11" max="11" width="10.6640625" customWidth="1"/>
    <col min="12" max="12" width="37.33203125" bestFit="1" customWidth="1"/>
    <col min="13" max="13" width="3.6640625" customWidth="1"/>
    <col min="14" max="14" width="39.6640625" bestFit="1" customWidth="1"/>
    <col min="15" max="15" width="10.6640625" customWidth="1"/>
    <col min="16" max="16" width="36.109375" bestFit="1" customWidth="1"/>
    <col min="17" max="17" width="9" hidden="1" customWidth="1"/>
    <col min="18" max="18" width="10.6640625" customWidth="1"/>
    <col min="19" max="19" width="13.109375" customWidth="1"/>
    <col min="20" max="20" width="12.33203125" customWidth="1"/>
    <col min="21" max="21" width="47.109375" bestFit="1" customWidth="1"/>
    <col min="22" max="26" width="10.6640625" customWidth="1"/>
  </cols>
  <sheetData>
    <row r="2" spans="2:22" ht="15" customHeight="1" thickBot="1" x14ac:dyDescent="0.35"/>
    <row r="3" spans="2:22" thickBot="1" x14ac:dyDescent="0.35">
      <c r="B3" s="42" t="s">
        <v>1</v>
      </c>
      <c r="C3" s="2" t="s">
        <v>2</v>
      </c>
      <c r="D3" s="2" t="s">
        <v>3</v>
      </c>
      <c r="E3" s="2"/>
      <c r="F3" s="19" t="s">
        <v>4</v>
      </c>
      <c r="G3" s="2"/>
      <c r="H3" s="3"/>
      <c r="I3" s="2"/>
      <c r="J3" s="19" t="s">
        <v>5</v>
      </c>
      <c r="K3" s="2"/>
      <c r="L3" s="3"/>
      <c r="M3" s="2"/>
      <c r="N3" s="19" t="s">
        <v>6</v>
      </c>
      <c r="O3" s="2"/>
      <c r="P3" s="3"/>
      <c r="Q3" s="4" t="s">
        <v>7</v>
      </c>
      <c r="S3" s="1" t="s">
        <v>8</v>
      </c>
      <c r="T3" s="1" t="s">
        <v>2</v>
      </c>
      <c r="U3" s="1" t="s">
        <v>3</v>
      </c>
    </row>
    <row r="4" spans="2:22" ht="15.6" x14ac:dyDescent="0.3">
      <c r="B4" s="43"/>
      <c r="C4" s="5">
        <v>9</v>
      </c>
      <c r="D4" s="6" t="str">
        <f>Hoja2!B3</f>
        <v>MAURICIO ALEJANDRO BAUTISTA</v>
      </c>
      <c r="E4" s="17">
        <f t="shared" ref="E4:E7" si="0">COUNTIF(C$4:C$7,"&gt;"&amp;C4)+COUNTIF($C$4:C4,C4)</f>
        <v>1</v>
      </c>
      <c r="F4" s="20" t="str">
        <f t="shared" ref="F4:F5" si="1">D4</f>
        <v>MAURICIO ALEJANDRO BAUTISTA</v>
      </c>
      <c r="G4" s="38" t="s">
        <v>9</v>
      </c>
      <c r="H4" s="21" t="str">
        <f t="shared" ref="H4:H5" si="2">D6</f>
        <v>IAN DE LA BARQUERA</v>
      </c>
      <c r="I4" s="27"/>
      <c r="J4" s="20" t="str">
        <f>D4</f>
        <v>MAURICIO ALEJANDRO BAUTISTA</v>
      </c>
      <c r="K4" s="38" t="s">
        <v>9</v>
      </c>
      <c r="L4" s="21" t="str">
        <f>D5</f>
        <v>MARIANO GOMEZ VUILLEUMIER</v>
      </c>
      <c r="M4" s="17"/>
      <c r="N4" s="20" t="str">
        <f>D4</f>
        <v>MAURICIO ALEJANDRO BAUTISTA</v>
      </c>
      <c r="O4" s="38" t="s">
        <v>9</v>
      </c>
      <c r="P4" s="21" t="str">
        <f t="shared" ref="P4:P5" si="3">D5</f>
        <v>MARIANO GOMEZ VUILLEUMIER</v>
      </c>
      <c r="Q4" s="1">
        <f>F6+J6+N6</f>
        <v>12</v>
      </c>
      <c r="S4" s="7">
        <f t="shared" ref="S4:S27" si="4">COUNTIF(T$4:T$27,"&gt;"&amp;T4)+1</f>
        <v>1</v>
      </c>
      <c r="T4" s="7">
        <f>$C$37</f>
        <v>11</v>
      </c>
      <c r="U4" s="32" t="str">
        <f>$D$37</f>
        <v>JOSE EMILIANO VAZQUEZ NUÑO</v>
      </c>
    </row>
    <row r="5" spans="2:22" ht="15.6" x14ac:dyDescent="0.3">
      <c r="B5" s="43"/>
      <c r="C5" s="8">
        <v>-1</v>
      </c>
      <c r="D5" s="6" t="str">
        <f>Hoja2!B4</f>
        <v>MARIANO GOMEZ VUILLEUMIER</v>
      </c>
      <c r="E5" s="17">
        <f t="shared" si="0"/>
        <v>2</v>
      </c>
      <c r="F5" s="22" t="str">
        <f t="shared" si="1"/>
        <v>MARIANO GOMEZ VUILLEUMIER</v>
      </c>
      <c r="G5" s="39"/>
      <c r="H5" s="23" t="str">
        <f t="shared" si="2"/>
        <v xml:space="preserve">NICOLAS MAXIMILIANO BRILL HERRERA </v>
      </c>
      <c r="I5" s="28"/>
      <c r="J5" s="22" t="str">
        <f>D6</f>
        <v>IAN DE LA BARQUERA</v>
      </c>
      <c r="K5" s="39"/>
      <c r="L5" s="23" t="str">
        <f>D7</f>
        <v xml:space="preserve">NICOLAS MAXIMILIANO BRILL HERRERA </v>
      </c>
      <c r="M5" s="18"/>
      <c r="N5" s="22" t="str">
        <f>D7</f>
        <v xml:space="preserve">NICOLAS MAXIMILIANO BRILL HERRERA </v>
      </c>
      <c r="O5" s="39"/>
      <c r="P5" s="23" t="str">
        <f t="shared" si="3"/>
        <v>IAN DE LA BARQUERA</v>
      </c>
      <c r="Q5" s="1">
        <f>F6+L6+P6</f>
        <v>7</v>
      </c>
      <c r="S5" s="7">
        <f t="shared" si="4"/>
        <v>2</v>
      </c>
      <c r="T5" s="7">
        <f>$C$4</f>
        <v>9</v>
      </c>
      <c r="U5" s="32" t="str">
        <f>$D$4</f>
        <v>MAURICIO ALEJANDRO BAUTISTA</v>
      </c>
    </row>
    <row r="6" spans="2:22" ht="15.6" x14ac:dyDescent="0.3">
      <c r="B6" s="43"/>
      <c r="C6" s="8">
        <v>-7</v>
      </c>
      <c r="D6" s="6" t="s">
        <v>52</v>
      </c>
      <c r="E6" s="17">
        <f t="shared" si="0"/>
        <v>4</v>
      </c>
      <c r="F6" s="40">
        <v>4</v>
      </c>
      <c r="G6" s="9"/>
      <c r="H6" s="36">
        <v>0</v>
      </c>
      <c r="I6" s="28"/>
      <c r="J6" s="40">
        <v>4</v>
      </c>
      <c r="K6" s="9"/>
      <c r="L6" s="36">
        <v>3</v>
      </c>
      <c r="M6" s="18"/>
      <c r="N6" s="40">
        <v>4</v>
      </c>
      <c r="O6" s="9"/>
      <c r="P6" s="36">
        <v>0</v>
      </c>
      <c r="Q6" s="10">
        <f>H6+J6+P6</f>
        <v>4</v>
      </c>
      <c r="S6" s="7">
        <f t="shared" si="4"/>
        <v>3</v>
      </c>
      <c r="T6" s="7">
        <f>$C$45</f>
        <v>5</v>
      </c>
      <c r="U6" s="32" t="str">
        <f>$D$45</f>
        <v>LEO LUCERO KOLB</v>
      </c>
    </row>
    <row r="7" spans="2:22" ht="15.6" x14ac:dyDescent="0.3">
      <c r="B7" s="43"/>
      <c r="C7" s="8">
        <v>-1</v>
      </c>
      <c r="D7" s="6" t="str">
        <f>Hoja2!B5</f>
        <v xml:space="preserve">NICOLAS MAXIMILIANO BRILL HERRERA </v>
      </c>
      <c r="E7" s="17">
        <f t="shared" si="0"/>
        <v>3</v>
      </c>
      <c r="F7" s="41"/>
      <c r="G7" s="9"/>
      <c r="H7" s="37"/>
      <c r="I7" s="28"/>
      <c r="J7" s="41"/>
      <c r="K7" s="9"/>
      <c r="L7" s="37"/>
      <c r="M7" s="18"/>
      <c r="N7" s="41"/>
      <c r="O7" s="9"/>
      <c r="P7" s="37"/>
      <c r="Q7" s="1">
        <f>H6+L6+N6</f>
        <v>7</v>
      </c>
      <c r="S7" s="7">
        <f t="shared" si="4"/>
        <v>4</v>
      </c>
      <c r="T7" s="7">
        <f>$C$29</f>
        <v>4</v>
      </c>
      <c r="U7" s="32" t="str">
        <f>$D$29</f>
        <v>MIGUEL ALCARAZ AMEZCUA</v>
      </c>
    </row>
    <row r="8" spans="2:22" ht="16.2" thickBot="1" x14ac:dyDescent="0.35">
      <c r="B8" s="39"/>
      <c r="C8" s="11"/>
      <c r="D8" s="9"/>
      <c r="E8" s="18"/>
      <c r="F8" s="24"/>
      <c r="G8" s="25"/>
      <c r="H8" s="26"/>
      <c r="I8" s="28"/>
      <c r="J8" s="24"/>
      <c r="K8" s="25"/>
      <c r="L8" s="26"/>
      <c r="M8" s="18"/>
      <c r="N8" s="24"/>
      <c r="O8" s="25"/>
      <c r="P8" s="26"/>
      <c r="Q8" s="1"/>
      <c r="S8" s="7">
        <f t="shared" si="4"/>
        <v>4</v>
      </c>
      <c r="T8" s="7">
        <f>$C$12</f>
        <v>4</v>
      </c>
      <c r="U8" s="32" t="str">
        <f>$D$12</f>
        <v>MARIANO NAVARRO LEAÑO</v>
      </c>
    </row>
    <row r="9" spans="2:22" ht="15" customHeight="1" x14ac:dyDescent="0.3">
      <c r="S9" s="7">
        <f t="shared" si="4"/>
        <v>6</v>
      </c>
      <c r="T9" s="7">
        <f>$C$47</f>
        <v>3</v>
      </c>
      <c r="U9" s="32" t="str">
        <f>$D$47</f>
        <v>ADRIANA ESPINOZA SALDAÑA</v>
      </c>
    </row>
    <row r="10" spans="2:22" ht="15" customHeight="1" thickBot="1" x14ac:dyDescent="0.35">
      <c r="S10" s="7">
        <f t="shared" si="4"/>
        <v>6</v>
      </c>
      <c r="T10" s="7">
        <f>$C$23</f>
        <v>3</v>
      </c>
      <c r="U10" s="32" t="str">
        <f>$D$23</f>
        <v xml:space="preserve">JESUS ANTONIO SEPULVEDA RODRIGUEZ </v>
      </c>
    </row>
    <row r="11" spans="2:22" ht="16.2" thickBot="1" x14ac:dyDescent="0.35">
      <c r="B11" s="42" t="s">
        <v>10</v>
      </c>
      <c r="C11" s="2" t="s">
        <v>2</v>
      </c>
      <c r="D11" s="12" t="s">
        <v>3</v>
      </c>
      <c r="E11" s="2"/>
      <c r="F11" s="19" t="s">
        <v>4</v>
      </c>
      <c r="G11" s="2"/>
      <c r="H11" s="3"/>
      <c r="I11" s="2"/>
      <c r="J11" s="19" t="s">
        <v>5</v>
      </c>
      <c r="K11" s="2"/>
      <c r="L11" s="3"/>
      <c r="M11" s="2"/>
      <c r="N11" s="19" t="s">
        <v>6</v>
      </c>
      <c r="O11" s="2"/>
      <c r="P11" s="3"/>
      <c r="Q11" s="4"/>
      <c r="S11" s="7">
        <f t="shared" si="4"/>
        <v>8</v>
      </c>
      <c r="T11" s="7">
        <f>$C$31</f>
        <v>2</v>
      </c>
      <c r="U11" s="32" t="str">
        <f>$D$31</f>
        <v>CAMILO RODRIGUEZ PACHECO</v>
      </c>
    </row>
    <row r="12" spans="2:22" ht="15.6" x14ac:dyDescent="0.3">
      <c r="B12" s="43"/>
      <c r="C12" s="13">
        <v>4</v>
      </c>
      <c r="D12" s="9" t="str">
        <f>Hoja2!B6</f>
        <v>MARIANO NAVARRO LEAÑO</v>
      </c>
      <c r="E12" s="17">
        <f t="shared" ref="E12:E15" si="5">COUNTIF(C$12:C$15,"&gt;"&amp;C12)+COUNTIF($C$12:C12,C12)</f>
        <v>1</v>
      </c>
      <c r="F12" s="20" t="str">
        <f t="shared" ref="F12:F13" si="6">D12</f>
        <v>MARIANO NAVARRO LEAÑO</v>
      </c>
      <c r="G12" s="38" t="s">
        <v>9</v>
      </c>
      <c r="H12" s="21" t="str">
        <f t="shared" ref="H12:H13" si="7">D14</f>
        <v>ELISA CAROLINA DIAZ LAGUNA</v>
      </c>
      <c r="I12" s="27"/>
      <c r="J12" s="20" t="str">
        <f>D12</f>
        <v>MARIANO NAVARRO LEAÑO</v>
      </c>
      <c r="K12" s="38" t="s">
        <v>9</v>
      </c>
      <c r="L12" s="21" t="str">
        <f>D13</f>
        <v xml:space="preserve">IKER FRANCISCO NORIEGA JIMENEZ </v>
      </c>
      <c r="M12" s="17"/>
      <c r="N12" s="20" t="str">
        <f>D12</f>
        <v>MARIANO NAVARRO LEAÑO</v>
      </c>
      <c r="O12" s="38" t="s">
        <v>9</v>
      </c>
      <c r="P12" s="21" t="str">
        <f t="shared" ref="P12:P13" si="8">D13</f>
        <v xml:space="preserve">IKER FRANCISCO NORIEGA JIMENEZ </v>
      </c>
      <c r="Q12" s="1">
        <f>F14+J14+N14</f>
        <v>11</v>
      </c>
      <c r="S12" s="7">
        <f t="shared" si="4"/>
        <v>8</v>
      </c>
      <c r="T12" s="7">
        <f>$C$30</f>
        <v>2</v>
      </c>
      <c r="U12" s="32" t="str">
        <f>$D$30</f>
        <v>ALEJANDRO CAMARENA LOPEZ</v>
      </c>
    </row>
    <row r="13" spans="2:22" ht="15.6" x14ac:dyDescent="0.3">
      <c r="B13" s="43"/>
      <c r="C13" s="14">
        <v>-6</v>
      </c>
      <c r="D13" s="9" t="str">
        <f>Hoja2!B7</f>
        <v xml:space="preserve">IKER FRANCISCO NORIEGA JIMENEZ </v>
      </c>
      <c r="E13" s="17">
        <f t="shared" si="5"/>
        <v>4</v>
      </c>
      <c r="F13" s="22" t="str">
        <f t="shared" si="6"/>
        <v xml:space="preserve">IKER FRANCISCO NORIEGA JIMENEZ </v>
      </c>
      <c r="G13" s="39"/>
      <c r="H13" s="23" t="str">
        <f t="shared" si="7"/>
        <v xml:space="preserve">ALONSO CISNEROS SANCHEZ </v>
      </c>
      <c r="I13" s="28"/>
      <c r="J13" s="22" t="str">
        <f>D14</f>
        <v>ELISA CAROLINA DIAZ LAGUNA</v>
      </c>
      <c r="K13" s="39"/>
      <c r="L13" s="23" t="str">
        <f>D15</f>
        <v xml:space="preserve">ALONSO CISNEROS SANCHEZ </v>
      </c>
      <c r="M13" s="18"/>
      <c r="N13" s="22" t="str">
        <f>D15</f>
        <v xml:space="preserve">ALONSO CISNEROS SANCHEZ </v>
      </c>
      <c r="O13" s="39"/>
      <c r="P13" s="23" t="str">
        <f t="shared" si="8"/>
        <v>ELISA CAROLINA DIAZ LAGUNA</v>
      </c>
      <c r="Q13" s="1">
        <f>F14+L14+P14</f>
        <v>6</v>
      </c>
      <c r="S13" s="7">
        <f t="shared" si="4"/>
        <v>8</v>
      </c>
      <c r="T13" s="7">
        <f>$C$14</f>
        <v>2</v>
      </c>
      <c r="U13" s="32" t="str">
        <f>$D$14</f>
        <v>ELISA CAROLINA DIAZ LAGUNA</v>
      </c>
    </row>
    <row r="14" spans="2:22" ht="15.6" x14ac:dyDescent="0.3">
      <c r="B14" s="43"/>
      <c r="C14" s="14">
        <v>2</v>
      </c>
      <c r="D14" s="9" t="str">
        <f>Hoja2!B8</f>
        <v>ELISA CAROLINA DIAZ LAGUNA</v>
      </c>
      <c r="E14" s="17">
        <f t="shared" si="5"/>
        <v>2</v>
      </c>
      <c r="F14" s="40">
        <v>3</v>
      </c>
      <c r="G14" s="9"/>
      <c r="H14" s="36">
        <v>4</v>
      </c>
      <c r="I14" s="28"/>
      <c r="J14" s="40">
        <v>4</v>
      </c>
      <c r="K14" s="9"/>
      <c r="L14" s="36">
        <v>1</v>
      </c>
      <c r="M14" s="18"/>
      <c r="N14" s="40">
        <v>4</v>
      </c>
      <c r="O14" s="9"/>
      <c r="P14" s="36">
        <v>2</v>
      </c>
      <c r="Q14" s="10">
        <f>H14+J14+P14</f>
        <v>10</v>
      </c>
      <c r="S14" s="7">
        <f t="shared" si="4"/>
        <v>11</v>
      </c>
      <c r="T14" s="7">
        <f>$C$21</f>
        <v>1</v>
      </c>
      <c r="U14" s="32" t="str">
        <f>$D$21</f>
        <v>EMILIO MATEO OLIVARES CORTÉS</v>
      </c>
    </row>
    <row r="15" spans="2:22" ht="15.6" x14ac:dyDescent="0.3">
      <c r="B15" s="43"/>
      <c r="C15" s="14">
        <v>0</v>
      </c>
      <c r="D15" s="9" t="str">
        <f>Hoja2!B9</f>
        <v xml:space="preserve">ALONSO CISNEROS SANCHEZ </v>
      </c>
      <c r="E15" s="17">
        <f t="shared" si="5"/>
        <v>3</v>
      </c>
      <c r="F15" s="41"/>
      <c r="G15" s="9"/>
      <c r="H15" s="37"/>
      <c r="I15" s="28"/>
      <c r="J15" s="41"/>
      <c r="K15" s="9"/>
      <c r="L15" s="37"/>
      <c r="M15" s="18"/>
      <c r="N15" s="41"/>
      <c r="O15" s="9"/>
      <c r="P15" s="37"/>
      <c r="Q15" s="1">
        <f>H14+L14+N14</f>
        <v>9</v>
      </c>
      <c r="S15" s="7">
        <f t="shared" si="4"/>
        <v>11</v>
      </c>
      <c r="T15" s="7">
        <f>$C$46</f>
        <v>1</v>
      </c>
      <c r="U15" s="32" t="str">
        <f>$D$46</f>
        <v>MAURICIO LOZANO CASTILLERO</v>
      </c>
    </row>
    <row r="16" spans="2:22" ht="16.2" thickBot="1" x14ac:dyDescent="0.35">
      <c r="B16" s="39"/>
      <c r="C16" s="11"/>
      <c r="D16" s="6"/>
      <c r="E16" s="18"/>
      <c r="F16" s="24"/>
      <c r="G16" s="25"/>
      <c r="H16" s="26"/>
      <c r="I16" s="28"/>
      <c r="J16" s="24"/>
      <c r="K16" s="25"/>
      <c r="L16" s="26"/>
      <c r="M16" s="18"/>
      <c r="N16" s="24"/>
      <c r="O16" s="25"/>
      <c r="P16" s="26"/>
      <c r="Q16" s="1"/>
      <c r="S16" s="7">
        <f t="shared" si="4"/>
        <v>11</v>
      </c>
      <c r="T16" s="7">
        <f>$C$22</f>
        <v>1</v>
      </c>
      <c r="U16" s="32" t="str">
        <f>$D$22</f>
        <v>DIEGO PATRICIO FERNANDEZ VIERA</v>
      </c>
      <c r="V16" s="1"/>
    </row>
    <row r="17" spans="2:21" ht="15" customHeight="1" x14ac:dyDescent="0.3">
      <c r="S17" s="7">
        <f t="shared" si="4"/>
        <v>14</v>
      </c>
      <c r="T17" s="7">
        <f>$C$15</f>
        <v>0</v>
      </c>
      <c r="U17" s="32" t="str">
        <f>$D$15</f>
        <v xml:space="preserve">ALONSO CISNEROS SANCHEZ </v>
      </c>
    </row>
    <row r="18" spans="2:21" ht="15" customHeight="1" thickBot="1" x14ac:dyDescent="0.35">
      <c r="S18" s="7">
        <f t="shared" si="4"/>
        <v>15</v>
      </c>
      <c r="T18" s="7">
        <f>$C$7</f>
        <v>-1</v>
      </c>
      <c r="U18" s="32" t="str">
        <f>$D$7</f>
        <v xml:space="preserve">NICOLAS MAXIMILIANO BRILL HERRERA </v>
      </c>
    </row>
    <row r="19" spans="2:21" ht="16.2" thickBot="1" x14ac:dyDescent="0.35">
      <c r="B19" s="42" t="s">
        <v>11</v>
      </c>
      <c r="C19" s="2" t="s">
        <v>2</v>
      </c>
      <c r="D19" s="2" t="s">
        <v>3</v>
      </c>
      <c r="E19" s="2"/>
      <c r="F19" s="19" t="s">
        <v>4</v>
      </c>
      <c r="G19" s="2"/>
      <c r="H19" s="3"/>
      <c r="I19" s="2"/>
      <c r="J19" s="19" t="s">
        <v>5</v>
      </c>
      <c r="K19" s="2"/>
      <c r="L19" s="3"/>
      <c r="M19" s="2"/>
      <c r="N19" s="19" t="s">
        <v>6</v>
      </c>
      <c r="O19" s="2"/>
      <c r="P19" s="3"/>
      <c r="Q19" s="4"/>
      <c r="S19" s="7">
        <f t="shared" si="4"/>
        <v>15</v>
      </c>
      <c r="T19" s="7">
        <f>$C$5</f>
        <v>-1</v>
      </c>
      <c r="U19" s="32" t="str">
        <f>$D$5</f>
        <v>MARIANO GOMEZ VUILLEUMIER</v>
      </c>
    </row>
    <row r="20" spans="2:21" ht="15.6" x14ac:dyDescent="0.3">
      <c r="B20" s="43"/>
      <c r="C20" s="5">
        <v>-5</v>
      </c>
      <c r="D20" s="6" t="str">
        <f>Hoja2!B10</f>
        <v>MAXIMILIANO HERNÁNDEZ OROZCO</v>
      </c>
      <c r="E20" s="17">
        <f t="shared" ref="E20:E23" si="9">COUNTIF(C$20:C$23,"&gt;"&amp;C20)+COUNTIF($C$20:C20,C20)</f>
        <v>4</v>
      </c>
      <c r="F20" s="20" t="str">
        <f t="shared" ref="F20:F21" si="10">D20</f>
        <v>MAXIMILIANO HERNÁNDEZ OROZCO</v>
      </c>
      <c r="G20" s="38" t="s">
        <v>9</v>
      </c>
      <c r="H20" s="21" t="str">
        <f t="shared" ref="H20:H21" si="11">D22</f>
        <v>DIEGO PATRICIO FERNANDEZ VIERA</v>
      </c>
      <c r="I20" s="27"/>
      <c r="J20" s="20" t="str">
        <f>D20</f>
        <v>MAXIMILIANO HERNÁNDEZ OROZCO</v>
      </c>
      <c r="K20" s="38" t="s">
        <v>9</v>
      </c>
      <c r="L20" s="21" t="str">
        <f>D21</f>
        <v>EMILIO MATEO OLIVARES CORTÉS</v>
      </c>
      <c r="M20" s="17"/>
      <c r="N20" s="20" t="str">
        <f>D20</f>
        <v>MAXIMILIANO HERNÁNDEZ OROZCO</v>
      </c>
      <c r="O20" s="38" t="s">
        <v>9</v>
      </c>
      <c r="P20" s="21" t="str">
        <f t="shared" ref="P20:P21" si="12">D21</f>
        <v>EMILIO MATEO OLIVARES CORTÉS</v>
      </c>
      <c r="Q20" s="1"/>
      <c r="S20" s="7">
        <f t="shared" si="4"/>
        <v>17</v>
      </c>
      <c r="T20" s="7">
        <f>$C$38</f>
        <v>-3</v>
      </c>
      <c r="U20" s="32" t="str">
        <f>$D$38</f>
        <v>ALBERTO ROBLES ARMENTA</v>
      </c>
    </row>
    <row r="21" spans="2:21" ht="15.75" customHeight="1" x14ac:dyDescent="0.3">
      <c r="B21" s="43"/>
      <c r="C21" s="8">
        <v>1</v>
      </c>
      <c r="D21" s="6" t="str">
        <f>Hoja2!B11</f>
        <v>EMILIO MATEO OLIVARES CORTÉS</v>
      </c>
      <c r="E21" s="17">
        <f t="shared" si="9"/>
        <v>2</v>
      </c>
      <c r="F21" s="22" t="str">
        <f t="shared" si="10"/>
        <v>EMILIO MATEO OLIVARES CORTÉS</v>
      </c>
      <c r="G21" s="39"/>
      <c r="H21" s="23" t="str">
        <f t="shared" si="11"/>
        <v xml:space="preserve">JESUS ANTONIO SEPULVEDA RODRIGUEZ </v>
      </c>
      <c r="I21" s="28"/>
      <c r="J21" s="22" t="str">
        <f>D22</f>
        <v>DIEGO PATRICIO FERNANDEZ VIERA</v>
      </c>
      <c r="K21" s="39"/>
      <c r="L21" s="23" t="str">
        <f>D23</f>
        <v xml:space="preserve">JESUS ANTONIO SEPULVEDA RODRIGUEZ </v>
      </c>
      <c r="M21" s="18"/>
      <c r="N21" s="22" t="str">
        <f>D23</f>
        <v xml:space="preserve">JESUS ANTONIO SEPULVEDA RODRIGUEZ </v>
      </c>
      <c r="O21" s="39"/>
      <c r="P21" s="23" t="str">
        <f t="shared" si="12"/>
        <v>DIEGO PATRICIO FERNANDEZ VIERA</v>
      </c>
      <c r="Q21" s="1"/>
      <c r="S21" s="7">
        <f t="shared" si="4"/>
        <v>17</v>
      </c>
      <c r="T21" s="7">
        <f>$C$36</f>
        <v>-3</v>
      </c>
      <c r="U21" s="32" t="str">
        <f>$D$36</f>
        <v>ESTEFANO ROLANDO BECERRA HERNANDEZ</v>
      </c>
    </row>
    <row r="22" spans="2:21" ht="15.75" customHeight="1" x14ac:dyDescent="0.3">
      <c r="B22" s="43"/>
      <c r="C22" s="8">
        <v>1</v>
      </c>
      <c r="D22" s="6" t="str">
        <f>Hoja2!B12</f>
        <v>DIEGO PATRICIO FERNANDEZ VIERA</v>
      </c>
      <c r="E22" s="17">
        <f t="shared" si="9"/>
        <v>3</v>
      </c>
      <c r="F22" s="40">
        <v>2</v>
      </c>
      <c r="G22" s="9"/>
      <c r="H22" s="36">
        <v>4</v>
      </c>
      <c r="I22" s="28"/>
      <c r="J22" s="40">
        <v>2</v>
      </c>
      <c r="K22" s="9"/>
      <c r="L22" s="36">
        <v>4</v>
      </c>
      <c r="M22" s="18"/>
      <c r="N22" s="40">
        <v>3</v>
      </c>
      <c r="O22" s="9"/>
      <c r="P22" s="36">
        <v>4</v>
      </c>
      <c r="Q22" s="10"/>
      <c r="S22" s="7">
        <f t="shared" si="4"/>
        <v>19</v>
      </c>
      <c r="T22" s="7">
        <f>$C$20</f>
        <v>-5</v>
      </c>
      <c r="U22" s="32" t="str">
        <f>$D$20</f>
        <v>MAXIMILIANO HERNÁNDEZ OROZCO</v>
      </c>
    </row>
    <row r="23" spans="2:21" ht="15.75" customHeight="1" x14ac:dyDescent="0.3">
      <c r="B23" s="43"/>
      <c r="C23" s="8">
        <v>3</v>
      </c>
      <c r="D23" s="6" t="str">
        <f>Hoja2!B13</f>
        <v xml:space="preserve">JESUS ANTONIO SEPULVEDA RODRIGUEZ </v>
      </c>
      <c r="E23" s="17">
        <f t="shared" si="9"/>
        <v>1</v>
      </c>
      <c r="F23" s="41"/>
      <c r="G23" s="9"/>
      <c r="H23" s="37"/>
      <c r="I23" s="28"/>
      <c r="J23" s="41"/>
      <c r="K23" s="9"/>
      <c r="L23" s="37"/>
      <c r="M23" s="18"/>
      <c r="N23" s="41"/>
      <c r="O23" s="9"/>
      <c r="P23" s="37"/>
      <c r="Q23" s="1"/>
      <c r="S23" s="7">
        <f t="shared" si="4"/>
        <v>19</v>
      </c>
      <c r="T23" s="7">
        <f>$C$39</f>
        <v>-5</v>
      </c>
      <c r="U23" s="32" t="str">
        <f>$D$39</f>
        <v>LUCAS CONTRERAS PADRÓN</v>
      </c>
    </row>
    <row r="24" spans="2:21" ht="15.75" customHeight="1" thickBot="1" x14ac:dyDescent="0.35">
      <c r="B24" s="39"/>
      <c r="C24" s="11"/>
      <c r="D24" s="9"/>
      <c r="E24" s="18"/>
      <c r="F24" s="24"/>
      <c r="G24" s="25"/>
      <c r="H24" s="26"/>
      <c r="I24" s="28"/>
      <c r="J24" s="24"/>
      <c r="K24" s="25"/>
      <c r="L24" s="26"/>
      <c r="M24" s="18"/>
      <c r="N24" s="24"/>
      <c r="O24" s="25"/>
      <c r="P24" s="26"/>
      <c r="Q24" s="1"/>
      <c r="S24" s="7">
        <f t="shared" si="4"/>
        <v>21</v>
      </c>
      <c r="T24" s="7">
        <f>$C$13</f>
        <v>-6</v>
      </c>
      <c r="U24" s="32" t="str">
        <f>$D$13</f>
        <v xml:space="preserve">IKER FRANCISCO NORIEGA JIMENEZ </v>
      </c>
    </row>
    <row r="25" spans="2:21" ht="15.75" customHeight="1" x14ac:dyDescent="0.3">
      <c r="S25" s="7">
        <f t="shared" si="4"/>
        <v>22</v>
      </c>
      <c r="T25" s="7">
        <f>$C$6</f>
        <v>-7</v>
      </c>
      <c r="U25" s="32" t="str">
        <f>$D$6</f>
        <v>IAN DE LA BARQUERA</v>
      </c>
    </row>
    <row r="26" spans="2:21" ht="15.75" customHeight="1" thickBot="1" x14ac:dyDescent="0.35">
      <c r="S26" s="7">
        <f t="shared" si="4"/>
        <v>23</v>
      </c>
      <c r="T26" s="7">
        <f>$C$28</f>
        <v>-8</v>
      </c>
      <c r="U26" s="32" t="str">
        <f>$D$28</f>
        <v>JOSUÉ SANTIAGO PÉREZ MEDINA</v>
      </c>
    </row>
    <row r="27" spans="2:21" ht="15.75" customHeight="1" thickBot="1" x14ac:dyDescent="0.35">
      <c r="B27" s="42" t="s">
        <v>12</v>
      </c>
      <c r="C27" s="2" t="s">
        <v>2</v>
      </c>
      <c r="D27" s="2" t="s">
        <v>3</v>
      </c>
      <c r="E27" s="2"/>
      <c r="F27" s="19" t="s">
        <v>4</v>
      </c>
      <c r="G27" s="2"/>
      <c r="H27" s="3"/>
      <c r="I27" s="2"/>
      <c r="J27" s="19" t="s">
        <v>5</v>
      </c>
      <c r="K27" s="2"/>
      <c r="L27" s="3"/>
      <c r="M27" s="2"/>
      <c r="N27" s="19" t="s">
        <v>6</v>
      </c>
      <c r="O27" s="2"/>
      <c r="P27" s="3"/>
      <c r="Q27" s="4"/>
      <c r="S27" s="7">
        <f t="shared" si="4"/>
        <v>24</v>
      </c>
      <c r="T27" s="7">
        <f>$C$44</f>
        <v>-9</v>
      </c>
      <c r="U27" s="32" t="str">
        <f>$D$44</f>
        <v>CHRISTIAN ULISES ACOSTA LOMELI</v>
      </c>
    </row>
    <row r="28" spans="2:21" ht="15.75" customHeight="1" x14ac:dyDescent="0.3">
      <c r="B28" s="43"/>
      <c r="C28" s="5">
        <v>-8</v>
      </c>
      <c r="D28" s="6" t="str">
        <f>Hoja2!B14</f>
        <v>JOSUÉ SANTIAGO PÉREZ MEDINA</v>
      </c>
      <c r="E28" s="17">
        <f t="shared" ref="E28:E31" si="13">COUNTIF(C$28:C$31,"&gt;"&amp;C28)+COUNTIF($C$28:C28,C28)</f>
        <v>4</v>
      </c>
      <c r="F28" s="20" t="str">
        <f t="shared" ref="F28:F29" si="14">D28</f>
        <v>JOSUÉ SANTIAGO PÉREZ MEDINA</v>
      </c>
      <c r="G28" s="38" t="s">
        <v>9</v>
      </c>
      <c r="H28" s="21" t="str">
        <f t="shared" ref="H28:H29" si="15">D30</f>
        <v>ALEJANDRO CAMARENA LOPEZ</v>
      </c>
      <c r="I28" s="27"/>
      <c r="J28" s="20" t="str">
        <f>D28</f>
        <v>JOSUÉ SANTIAGO PÉREZ MEDINA</v>
      </c>
      <c r="K28" s="38" t="s">
        <v>9</v>
      </c>
      <c r="L28" s="21" t="str">
        <f>D29</f>
        <v>MIGUEL ALCARAZ AMEZCUA</v>
      </c>
      <c r="M28" s="17"/>
      <c r="N28" s="20" t="str">
        <f>D28</f>
        <v>JOSUÉ SANTIAGO PÉREZ MEDINA</v>
      </c>
      <c r="O28" s="38" t="s">
        <v>9</v>
      </c>
      <c r="P28" s="21" t="str">
        <f t="shared" ref="P28:P29" si="16">D29</f>
        <v>MIGUEL ALCARAZ AMEZCUA</v>
      </c>
      <c r="Q28" s="1"/>
    </row>
    <row r="29" spans="2:21" ht="15.75" customHeight="1" x14ac:dyDescent="0.3">
      <c r="B29" s="43"/>
      <c r="C29" s="8">
        <v>4</v>
      </c>
      <c r="D29" s="6" t="str">
        <f>Hoja2!B15</f>
        <v>MIGUEL ALCARAZ AMEZCUA</v>
      </c>
      <c r="E29" s="17">
        <f t="shared" si="13"/>
        <v>1</v>
      </c>
      <c r="F29" s="22" t="str">
        <f t="shared" si="14"/>
        <v>MIGUEL ALCARAZ AMEZCUA</v>
      </c>
      <c r="G29" s="39"/>
      <c r="H29" s="23" t="str">
        <f t="shared" si="15"/>
        <v>CAMILO RODRIGUEZ PACHECO</v>
      </c>
      <c r="I29" s="28"/>
      <c r="J29" s="22" t="str">
        <f>D30</f>
        <v>ALEJANDRO CAMARENA LOPEZ</v>
      </c>
      <c r="K29" s="39"/>
      <c r="L29" s="23" t="str">
        <f>D31</f>
        <v>CAMILO RODRIGUEZ PACHECO</v>
      </c>
      <c r="M29" s="18"/>
      <c r="N29" s="22" t="str">
        <f>D31</f>
        <v>CAMILO RODRIGUEZ PACHECO</v>
      </c>
      <c r="O29" s="39"/>
      <c r="P29" s="23" t="str">
        <f t="shared" si="16"/>
        <v>ALEJANDRO CAMARENA LOPEZ</v>
      </c>
      <c r="Q29" s="1"/>
    </row>
    <row r="30" spans="2:21" ht="15.75" customHeight="1" x14ac:dyDescent="0.3">
      <c r="B30" s="43"/>
      <c r="C30" s="8">
        <v>2</v>
      </c>
      <c r="D30" s="6" t="str">
        <f>Hoja2!B16</f>
        <v>ALEJANDRO CAMARENA LOPEZ</v>
      </c>
      <c r="E30" s="17">
        <f t="shared" si="13"/>
        <v>2</v>
      </c>
      <c r="F30" s="40">
        <v>2</v>
      </c>
      <c r="G30" s="9"/>
      <c r="H30" s="36">
        <v>4</v>
      </c>
      <c r="I30" s="28"/>
      <c r="J30" s="40">
        <v>1</v>
      </c>
      <c r="K30" s="9"/>
      <c r="L30" s="36">
        <v>4</v>
      </c>
      <c r="M30" s="18"/>
      <c r="N30" s="40">
        <v>1</v>
      </c>
      <c r="O30" s="9"/>
      <c r="P30" s="36">
        <v>4</v>
      </c>
      <c r="Q30" s="10"/>
    </row>
    <row r="31" spans="2:21" ht="15.75" customHeight="1" x14ac:dyDescent="0.3">
      <c r="B31" s="43"/>
      <c r="C31" s="8">
        <v>2</v>
      </c>
      <c r="D31" s="6" t="str">
        <f>Hoja2!B17</f>
        <v>CAMILO RODRIGUEZ PACHECO</v>
      </c>
      <c r="E31" s="17">
        <f t="shared" si="13"/>
        <v>3</v>
      </c>
      <c r="F31" s="41"/>
      <c r="G31" s="9"/>
      <c r="H31" s="37"/>
      <c r="I31" s="28"/>
      <c r="J31" s="41"/>
      <c r="K31" s="9"/>
      <c r="L31" s="37"/>
      <c r="M31" s="18"/>
      <c r="N31" s="41"/>
      <c r="O31" s="9"/>
      <c r="P31" s="37"/>
      <c r="Q31" s="1"/>
    </row>
    <row r="32" spans="2:21" ht="15.75" customHeight="1" thickBot="1" x14ac:dyDescent="0.35">
      <c r="B32" s="39"/>
      <c r="C32" s="11"/>
      <c r="D32" s="9"/>
      <c r="E32" s="18"/>
      <c r="F32" s="24"/>
      <c r="G32" s="25"/>
      <c r="H32" s="26"/>
      <c r="I32" s="28"/>
      <c r="J32" s="24"/>
      <c r="K32" s="25"/>
      <c r="L32" s="26"/>
      <c r="M32" s="18"/>
      <c r="N32" s="24"/>
      <c r="O32" s="25"/>
      <c r="P32" s="26"/>
      <c r="Q32" s="1"/>
    </row>
    <row r="33" spans="2:17" ht="15.75" customHeight="1" x14ac:dyDescent="0.3">
      <c r="D33" s="15"/>
    </row>
    <row r="34" spans="2:17" ht="15.75" customHeight="1" thickBot="1" x14ac:dyDescent="0.35"/>
    <row r="35" spans="2:17" ht="15.75" customHeight="1" thickBot="1" x14ac:dyDescent="0.35">
      <c r="B35" s="42" t="s">
        <v>13</v>
      </c>
      <c r="C35" s="2" t="s">
        <v>2</v>
      </c>
      <c r="D35" s="2" t="s">
        <v>3</v>
      </c>
      <c r="E35" s="2"/>
      <c r="F35" s="19" t="s">
        <v>4</v>
      </c>
      <c r="G35" s="2"/>
      <c r="H35" s="3"/>
      <c r="I35" s="2"/>
      <c r="J35" s="19" t="s">
        <v>5</v>
      </c>
      <c r="K35" s="2"/>
      <c r="L35" s="3"/>
      <c r="M35" s="2"/>
      <c r="N35" s="19" t="s">
        <v>6</v>
      </c>
      <c r="O35" s="2"/>
      <c r="P35" s="3"/>
      <c r="Q35" s="4"/>
    </row>
    <row r="36" spans="2:17" ht="15.75" customHeight="1" x14ac:dyDescent="0.3">
      <c r="B36" s="43"/>
      <c r="C36" s="5">
        <v>-3</v>
      </c>
      <c r="D36" s="6" t="str">
        <f>Hoja2!B18</f>
        <v>ESTEFANO ROLANDO BECERRA HERNANDEZ</v>
      </c>
      <c r="E36" s="17">
        <f t="shared" ref="E36:E39" si="17">COUNTIF(C$36:C$39,"&gt;"&amp;C36)+COUNTIF($C$36:C36,C36)</f>
        <v>2</v>
      </c>
      <c r="F36" s="20" t="str">
        <f t="shared" ref="F36:F37" si="18">D36</f>
        <v>ESTEFANO ROLANDO BECERRA HERNANDEZ</v>
      </c>
      <c r="G36" s="38" t="s">
        <v>9</v>
      </c>
      <c r="H36" s="21" t="str">
        <f t="shared" ref="H36:H37" si="19">D38</f>
        <v>ALBERTO ROBLES ARMENTA</v>
      </c>
      <c r="I36" s="27"/>
      <c r="J36" s="20" t="str">
        <f>D36</f>
        <v>ESTEFANO ROLANDO BECERRA HERNANDEZ</v>
      </c>
      <c r="K36" s="38" t="s">
        <v>9</v>
      </c>
      <c r="L36" s="21" t="str">
        <f>D37</f>
        <v>JOSE EMILIANO VAZQUEZ NUÑO</v>
      </c>
      <c r="M36" s="17"/>
      <c r="N36" s="20" t="str">
        <f>D36</f>
        <v>ESTEFANO ROLANDO BECERRA HERNANDEZ</v>
      </c>
      <c r="O36" s="38" t="s">
        <v>9</v>
      </c>
      <c r="P36" s="21" t="str">
        <f t="shared" ref="P36:P37" si="20">D37</f>
        <v>JOSE EMILIANO VAZQUEZ NUÑO</v>
      </c>
      <c r="Q36" s="1"/>
    </row>
    <row r="37" spans="2:17" ht="15.75" customHeight="1" x14ac:dyDescent="0.3">
      <c r="B37" s="43"/>
      <c r="C37" s="8">
        <v>11</v>
      </c>
      <c r="D37" s="6" t="str">
        <f>Hoja2!B19</f>
        <v>JOSE EMILIANO VAZQUEZ NUÑO</v>
      </c>
      <c r="E37" s="17">
        <f t="shared" si="17"/>
        <v>1</v>
      </c>
      <c r="F37" s="22" t="str">
        <f t="shared" si="18"/>
        <v>JOSE EMILIANO VAZQUEZ NUÑO</v>
      </c>
      <c r="G37" s="39"/>
      <c r="H37" s="23" t="str">
        <f t="shared" si="19"/>
        <v>LUCAS CONTRERAS PADRÓN</v>
      </c>
      <c r="I37" s="28"/>
      <c r="J37" s="22" t="str">
        <f>D38</f>
        <v>ALBERTO ROBLES ARMENTA</v>
      </c>
      <c r="K37" s="39"/>
      <c r="L37" s="23" t="str">
        <f>D39</f>
        <v>LUCAS CONTRERAS PADRÓN</v>
      </c>
      <c r="M37" s="18"/>
      <c r="N37" s="22" t="str">
        <f>D39</f>
        <v>LUCAS CONTRERAS PADRÓN</v>
      </c>
      <c r="O37" s="39"/>
      <c r="P37" s="23" t="str">
        <f t="shared" si="20"/>
        <v>ALBERTO ROBLES ARMENTA</v>
      </c>
      <c r="Q37" s="1"/>
    </row>
    <row r="38" spans="2:17" ht="15.75" customHeight="1" x14ac:dyDescent="0.3">
      <c r="B38" s="43"/>
      <c r="C38" s="8">
        <v>-3</v>
      </c>
      <c r="D38" s="6" t="str">
        <f>Hoja2!B20</f>
        <v>ALBERTO ROBLES ARMENTA</v>
      </c>
      <c r="E38" s="17">
        <f t="shared" si="17"/>
        <v>3</v>
      </c>
      <c r="F38" s="40">
        <v>4</v>
      </c>
      <c r="G38" s="9"/>
      <c r="H38" s="36">
        <v>0</v>
      </c>
      <c r="I38" s="28"/>
      <c r="J38" s="40">
        <v>1</v>
      </c>
      <c r="K38" s="9"/>
      <c r="L38" s="36">
        <v>4</v>
      </c>
      <c r="M38" s="18"/>
      <c r="N38" s="40">
        <v>0</v>
      </c>
      <c r="O38" s="9"/>
      <c r="P38" s="36">
        <v>4</v>
      </c>
      <c r="Q38" s="10"/>
    </row>
    <row r="39" spans="2:17" ht="15.75" customHeight="1" x14ac:dyDescent="0.3">
      <c r="B39" s="43"/>
      <c r="C39" s="8">
        <v>-5</v>
      </c>
      <c r="D39" s="6" t="str">
        <f>Hoja2!B21</f>
        <v>LUCAS CONTRERAS PADRÓN</v>
      </c>
      <c r="E39" s="17">
        <f t="shared" si="17"/>
        <v>4</v>
      </c>
      <c r="F39" s="41"/>
      <c r="G39" s="9"/>
      <c r="H39" s="37"/>
      <c r="I39" s="28"/>
      <c r="J39" s="41"/>
      <c r="K39" s="9"/>
      <c r="L39" s="37"/>
      <c r="M39" s="18"/>
      <c r="N39" s="41"/>
      <c r="O39" s="9"/>
      <c r="P39" s="37"/>
      <c r="Q39" s="1"/>
    </row>
    <row r="40" spans="2:17" ht="15.75" customHeight="1" thickBot="1" x14ac:dyDescent="0.35">
      <c r="B40" s="39"/>
      <c r="C40" s="11"/>
      <c r="D40" s="9"/>
      <c r="E40" s="18"/>
      <c r="F40" s="24"/>
      <c r="G40" s="25"/>
      <c r="H40" s="26"/>
      <c r="I40" s="28"/>
      <c r="J40" s="24"/>
      <c r="K40" s="25"/>
      <c r="L40" s="26"/>
      <c r="M40" s="18"/>
      <c r="N40" s="24"/>
      <c r="O40" s="25"/>
      <c r="P40" s="26"/>
      <c r="Q40" s="1"/>
    </row>
    <row r="41" spans="2:17" ht="15.75" customHeight="1" x14ac:dyDescent="0.3"/>
    <row r="42" spans="2:17" ht="15.75" customHeight="1" thickBot="1" x14ac:dyDescent="0.35"/>
    <row r="43" spans="2:17" ht="15.75" customHeight="1" thickBot="1" x14ac:dyDescent="0.35">
      <c r="B43" s="42" t="s">
        <v>14</v>
      </c>
      <c r="C43" s="2" t="s">
        <v>2</v>
      </c>
      <c r="D43" s="2" t="s">
        <v>3</v>
      </c>
      <c r="E43" s="2"/>
      <c r="F43" s="19" t="s">
        <v>4</v>
      </c>
      <c r="G43" s="2"/>
      <c r="H43" s="3"/>
      <c r="I43" s="2"/>
      <c r="J43" s="19" t="s">
        <v>5</v>
      </c>
      <c r="K43" s="2"/>
      <c r="L43" s="3"/>
      <c r="M43" s="2"/>
      <c r="N43" s="19" t="s">
        <v>6</v>
      </c>
      <c r="O43" s="2"/>
      <c r="P43" s="3"/>
      <c r="Q43" s="4"/>
    </row>
    <row r="44" spans="2:17" ht="15.75" customHeight="1" x14ac:dyDescent="0.3">
      <c r="B44" s="43"/>
      <c r="C44" s="5">
        <v>-9</v>
      </c>
      <c r="D44" s="6" t="str">
        <f>Hoja2!B22</f>
        <v>CHRISTIAN ULISES ACOSTA LOMELI</v>
      </c>
      <c r="E44" s="17">
        <f t="shared" ref="E44:E47" si="21">COUNTIF(C$44:C$47,"&gt;"&amp;C44)+COUNTIF($C$44:C44,C44)</f>
        <v>4</v>
      </c>
      <c r="F44" s="20" t="str">
        <f t="shared" ref="F44:F45" si="22">D44</f>
        <v>CHRISTIAN ULISES ACOSTA LOMELI</v>
      </c>
      <c r="G44" s="38" t="s">
        <v>9</v>
      </c>
      <c r="H44" s="21" t="str">
        <f t="shared" ref="H44:H45" si="23">D46</f>
        <v>MAURICIO LOZANO CASTILLERO</v>
      </c>
      <c r="I44" s="27"/>
      <c r="J44" s="20" t="str">
        <f>D44</f>
        <v>CHRISTIAN ULISES ACOSTA LOMELI</v>
      </c>
      <c r="K44" s="38" t="s">
        <v>9</v>
      </c>
      <c r="L44" s="21" t="str">
        <f>D45</f>
        <v>LEO LUCERO KOLB</v>
      </c>
      <c r="M44" s="27"/>
      <c r="N44" s="20" t="str">
        <f>D44</f>
        <v>CHRISTIAN ULISES ACOSTA LOMELI</v>
      </c>
      <c r="O44" s="38" t="s">
        <v>9</v>
      </c>
      <c r="P44" s="21" t="str">
        <f t="shared" ref="P44:P45" si="24">D45</f>
        <v>LEO LUCERO KOLB</v>
      </c>
      <c r="Q44" s="29"/>
    </row>
    <row r="45" spans="2:17" ht="15.75" customHeight="1" x14ac:dyDescent="0.3">
      <c r="B45" s="43"/>
      <c r="C45" s="8">
        <v>5</v>
      </c>
      <c r="D45" s="6" t="str">
        <f>Hoja2!B23</f>
        <v>LEO LUCERO KOLB</v>
      </c>
      <c r="E45" s="17">
        <f t="shared" si="21"/>
        <v>1</v>
      </c>
      <c r="F45" s="22" t="str">
        <f t="shared" si="22"/>
        <v>LEO LUCERO KOLB</v>
      </c>
      <c r="G45" s="39"/>
      <c r="H45" s="23" t="str">
        <f t="shared" si="23"/>
        <v>ADRIANA ESPINOZA SALDAÑA</v>
      </c>
      <c r="I45" s="28"/>
      <c r="J45" s="22" t="str">
        <f>D46</f>
        <v>MAURICIO LOZANO CASTILLERO</v>
      </c>
      <c r="K45" s="39"/>
      <c r="L45" s="23" t="str">
        <f>D47</f>
        <v>ADRIANA ESPINOZA SALDAÑA</v>
      </c>
      <c r="M45" s="28"/>
      <c r="N45" s="22" t="str">
        <f>D47</f>
        <v>ADRIANA ESPINOZA SALDAÑA</v>
      </c>
      <c r="O45" s="39"/>
      <c r="P45" s="23" t="str">
        <f t="shared" si="24"/>
        <v>MAURICIO LOZANO CASTILLERO</v>
      </c>
      <c r="Q45" s="29"/>
    </row>
    <row r="46" spans="2:17" ht="15.75" customHeight="1" x14ac:dyDescent="0.3">
      <c r="B46" s="43"/>
      <c r="C46" s="8">
        <v>1</v>
      </c>
      <c r="D46" s="6" t="str">
        <f>Hoja2!B25</f>
        <v>MAURICIO LOZANO CASTILLERO</v>
      </c>
      <c r="E46" s="17">
        <f t="shared" si="21"/>
        <v>3</v>
      </c>
      <c r="F46" s="40">
        <v>2</v>
      </c>
      <c r="G46" s="9"/>
      <c r="H46" s="36">
        <v>4</v>
      </c>
      <c r="I46" s="28"/>
      <c r="J46" s="40">
        <v>0</v>
      </c>
      <c r="K46" s="9"/>
      <c r="L46" s="36">
        <v>4</v>
      </c>
      <c r="M46" s="28"/>
      <c r="N46" s="40">
        <v>1</v>
      </c>
      <c r="O46" s="9"/>
      <c r="P46" s="36">
        <v>4</v>
      </c>
      <c r="Q46" s="30"/>
    </row>
    <row r="47" spans="2:17" ht="15.75" customHeight="1" x14ac:dyDescent="0.3">
      <c r="B47" s="43"/>
      <c r="C47" s="8">
        <v>3</v>
      </c>
      <c r="D47" s="6" t="str">
        <f>Hoja2!B24</f>
        <v>ADRIANA ESPINOZA SALDAÑA</v>
      </c>
      <c r="E47" s="17">
        <f t="shared" si="21"/>
        <v>2</v>
      </c>
      <c r="F47" s="41"/>
      <c r="G47" s="9"/>
      <c r="H47" s="37"/>
      <c r="I47" s="28"/>
      <c r="J47" s="41"/>
      <c r="K47" s="9"/>
      <c r="L47" s="37"/>
      <c r="M47" s="28"/>
      <c r="N47" s="41"/>
      <c r="O47" s="9"/>
      <c r="P47" s="37"/>
      <c r="Q47" s="29"/>
    </row>
    <row r="48" spans="2:17" ht="15.75" customHeight="1" thickBot="1" x14ac:dyDescent="0.35">
      <c r="B48" s="39"/>
      <c r="C48" s="11"/>
      <c r="D48" s="9"/>
      <c r="E48" s="18"/>
      <c r="F48" s="24"/>
      <c r="G48" s="25"/>
      <c r="H48" s="26"/>
      <c r="I48" s="28"/>
      <c r="J48" s="24"/>
      <c r="K48" s="25"/>
      <c r="L48" s="26"/>
      <c r="M48" s="28"/>
      <c r="N48" s="24"/>
      <c r="O48" s="25"/>
      <c r="P48" s="26"/>
      <c r="Q48" s="29"/>
    </row>
    <row r="49" spans="2:17" ht="15.75" hidden="1" customHeight="1" x14ac:dyDescent="0.3"/>
    <row r="50" spans="2:17" ht="15.75" hidden="1" customHeight="1" x14ac:dyDescent="0.3"/>
    <row r="51" spans="2:17" ht="15.75" hidden="1" customHeight="1" x14ac:dyDescent="0.3">
      <c r="B51" s="42" t="s">
        <v>15</v>
      </c>
      <c r="C51" s="2" t="s">
        <v>2</v>
      </c>
      <c r="D51" s="2" t="s">
        <v>3</v>
      </c>
      <c r="E51" s="2"/>
      <c r="F51" s="2" t="s">
        <v>4</v>
      </c>
      <c r="G51" s="2"/>
      <c r="H51" s="2"/>
      <c r="I51" s="2"/>
      <c r="J51" s="2" t="s">
        <v>5</v>
      </c>
      <c r="K51" s="2"/>
      <c r="L51" s="2"/>
      <c r="M51" s="2"/>
      <c r="N51" s="2" t="s">
        <v>6</v>
      </c>
      <c r="O51" s="2"/>
      <c r="P51" s="3"/>
      <c r="Q51" s="4"/>
    </row>
    <row r="52" spans="2:17" ht="15.75" hidden="1" customHeight="1" x14ac:dyDescent="0.3">
      <c r="B52" s="43"/>
      <c r="C52" s="5">
        <f>(F54-H54)+(J54-L54)+(N54-P54)</f>
        <v>0</v>
      </c>
      <c r="D52" s="6" t="s">
        <v>16</v>
      </c>
      <c r="E52" s="6"/>
      <c r="F52" s="6" t="str">
        <f t="shared" ref="F52:F53" si="25">D52</f>
        <v>Jugador 1</v>
      </c>
      <c r="G52" s="38" t="s">
        <v>9</v>
      </c>
      <c r="H52" s="6" t="str">
        <f t="shared" ref="H52:H53" si="26">D54</f>
        <v>Jugador 3</v>
      </c>
      <c r="I52" s="6"/>
      <c r="J52" s="6" t="str">
        <f>D52</f>
        <v>Jugador 1</v>
      </c>
      <c r="K52" s="38" t="s">
        <v>9</v>
      </c>
      <c r="L52" s="6" t="str">
        <f>D53</f>
        <v>Jugador 2</v>
      </c>
      <c r="M52" s="6"/>
      <c r="N52" s="6" t="str">
        <f>D52</f>
        <v>Jugador 1</v>
      </c>
      <c r="O52" s="38" t="s">
        <v>9</v>
      </c>
      <c r="P52" s="6" t="str">
        <f t="shared" ref="P52:P53" si="27">D53</f>
        <v>Jugador 2</v>
      </c>
      <c r="Q52" s="1"/>
    </row>
    <row r="53" spans="2:17" ht="15.75" hidden="1" customHeight="1" x14ac:dyDescent="0.3">
      <c r="B53" s="43"/>
      <c r="C53" s="8">
        <f>(F54-H54)+(L54-J54)+(P54-N54)</f>
        <v>0</v>
      </c>
      <c r="D53" s="9" t="s">
        <v>17</v>
      </c>
      <c r="E53" s="9"/>
      <c r="F53" s="9" t="str">
        <f t="shared" si="25"/>
        <v>Jugador 2</v>
      </c>
      <c r="G53" s="39"/>
      <c r="H53" s="9" t="str">
        <f t="shared" si="26"/>
        <v>Jugador 4</v>
      </c>
      <c r="I53" s="9"/>
      <c r="J53" s="9" t="str">
        <f>D54</f>
        <v>Jugador 3</v>
      </c>
      <c r="K53" s="39"/>
      <c r="L53" s="9" t="str">
        <f>D55</f>
        <v>Jugador 4</v>
      </c>
      <c r="M53" s="9"/>
      <c r="N53" s="9" t="str">
        <f>D55</f>
        <v>Jugador 4</v>
      </c>
      <c r="O53" s="39"/>
      <c r="P53" s="9" t="str">
        <f t="shared" si="27"/>
        <v>Jugador 3</v>
      </c>
      <c r="Q53" s="1"/>
    </row>
    <row r="54" spans="2:17" ht="15.75" hidden="1" customHeight="1" x14ac:dyDescent="0.3">
      <c r="B54" s="43"/>
      <c r="C54" s="8">
        <f>(H54-F54)+(J54-L54)+(P54-N54)</f>
        <v>0</v>
      </c>
      <c r="D54" s="9" t="s">
        <v>18</v>
      </c>
      <c r="E54" s="9"/>
      <c r="F54" s="42"/>
      <c r="G54" s="9"/>
      <c r="H54" s="42"/>
      <c r="I54" s="9"/>
      <c r="J54" s="42"/>
      <c r="K54" s="9"/>
      <c r="L54" s="42"/>
      <c r="M54" s="9"/>
      <c r="N54" s="42"/>
      <c r="O54" s="9"/>
      <c r="P54" s="42"/>
      <c r="Q54" s="10"/>
    </row>
    <row r="55" spans="2:17" ht="15.75" hidden="1" customHeight="1" x14ac:dyDescent="0.3">
      <c r="B55" s="43"/>
      <c r="C55" s="8">
        <f>(H54-F54)+(L54-J54)+(N54-P54)</f>
        <v>0</v>
      </c>
      <c r="D55" s="9" t="s">
        <v>19</v>
      </c>
      <c r="E55" s="9"/>
      <c r="F55" s="39"/>
      <c r="G55" s="9"/>
      <c r="H55" s="39"/>
      <c r="I55" s="9"/>
      <c r="J55" s="39"/>
      <c r="K55" s="9"/>
      <c r="L55" s="39"/>
      <c r="M55" s="9"/>
      <c r="N55" s="39"/>
      <c r="O55" s="9"/>
      <c r="P55" s="39"/>
      <c r="Q55" s="1"/>
    </row>
    <row r="56" spans="2:17" ht="15.75" hidden="1" customHeight="1" x14ac:dyDescent="0.3">
      <c r="B56" s="39"/>
      <c r="C56" s="11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"/>
    </row>
    <row r="57" spans="2:17" ht="15.75" hidden="1" customHeight="1" x14ac:dyDescent="0.3"/>
    <row r="58" spans="2:17" ht="15.75" hidden="1" customHeight="1" x14ac:dyDescent="0.3"/>
    <row r="59" spans="2:17" ht="15.75" hidden="1" customHeight="1" x14ac:dyDescent="0.3">
      <c r="B59" s="42" t="s">
        <v>20</v>
      </c>
      <c r="C59" s="2" t="s">
        <v>2</v>
      </c>
      <c r="D59" s="2" t="s">
        <v>3</v>
      </c>
      <c r="E59" s="2"/>
      <c r="F59" s="2" t="s">
        <v>4</v>
      </c>
      <c r="G59" s="2"/>
      <c r="H59" s="2"/>
      <c r="I59" s="2"/>
      <c r="J59" s="2" t="s">
        <v>5</v>
      </c>
      <c r="K59" s="2"/>
      <c r="L59" s="2"/>
      <c r="M59" s="2"/>
      <c r="N59" s="2" t="s">
        <v>6</v>
      </c>
      <c r="O59" s="2"/>
      <c r="P59" s="3"/>
      <c r="Q59" s="4"/>
    </row>
    <row r="60" spans="2:17" ht="15.75" hidden="1" customHeight="1" x14ac:dyDescent="0.3">
      <c r="B60" s="43"/>
      <c r="C60" s="5">
        <f>(F62-H62)+(J62-L62)+(N62-P62)</f>
        <v>0</v>
      </c>
      <c r="D60" s="6" t="s">
        <v>16</v>
      </c>
      <c r="E60" s="6"/>
      <c r="F60" s="6" t="str">
        <f t="shared" ref="F60:F61" si="28">D60</f>
        <v>Jugador 1</v>
      </c>
      <c r="G60" s="38" t="s">
        <v>9</v>
      </c>
      <c r="H60" s="6" t="str">
        <f t="shared" ref="H60:H61" si="29">D62</f>
        <v>Jugador 3</v>
      </c>
      <c r="I60" s="6"/>
      <c r="J60" s="6" t="str">
        <f>D60</f>
        <v>Jugador 1</v>
      </c>
      <c r="K60" s="38" t="s">
        <v>9</v>
      </c>
      <c r="L60" s="6" t="str">
        <f>D61</f>
        <v>Jugador 2</v>
      </c>
      <c r="M60" s="6"/>
      <c r="N60" s="6" t="str">
        <f>D60</f>
        <v>Jugador 1</v>
      </c>
      <c r="O60" s="38" t="s">
        <v>9</v>
      </c>
      <c r="P60" s="6" t="str">
        <f t="shared" ref="P60:P61" si="30">D61</f>
        <v>Jugador 2</v>
      </c>
      <c r="Q60" s="1"/>
    </row>
    <row r="61" spans="2:17" ht="15.75" hidden="1" customHeight="1" x14ac:dyDescent="0.3">
      <c r="B61" s="43"/>
      <c r="C61" s="8">
        <f>(F62-H62)+(L62-J62)+(P62-N62)</f>
        <v>0</v>
      </c>
      <c r="D61" s="9" t="s">
        <v>17</v>
      </c>
      <c r="E61" s="9"/>
      <c r="F61" s="9" t="str">
        <f t="shared" si="28"/>
        <v>Jugador 2</v>
      </c>
      <c r="G61" s="39"/>
      <c r="H61" s="9" t="str">
        <f t="shared" si="29"/>
        <v>Jugador 4</v>
      </c>
      <c r="I61" s="9"/>
      <c r="J61" s="9" t="str">
        <f>D62</f>
        <v>Jugador 3</v>
      </c>
      <c r="K61" s="39"/>
      <c r="L61" s="9" t="str">
        <f>D63</f>
        <v>Jugador 4</v>
      </c>
      <c r="M61" s="9"/>
      <c r="N61" s="9" t="str">
        <f>D63</f>
        <v>Jugador 4</v>
      </c>
      <c r="O61" s="39"/>
      <c r="P61" s="9" t="str">
        <f t="shared" si="30"/>
        <v>Jugador 3</v>
      </c>
      <c r="Q61" s="1"/>
    </row>
    <row r="62" spans="2:17" ht="15.75" hidden="1" customHeight="1" x14ac:dyDescent="0.3">
      <c r="B62" s="43"/>
      <c r="C62" s="8">
        <f>(H62-F62)+(J62-L62)+(P62-N62)</f>
        <v>0</v>
      </c>
      <c r="D62" s="9" t="s">
        <v>18</v>
      </c>
      <c r="E62" s="9"/>
      <c r="F62" s="42"/>
      <c r="G62" s="9"/>
      <c r="H62" s="42"/>
      <c r="I62" s="9"/>
      <c r="J62" s="42"/>
      <c r="K62" s="9"/>
      <c r="L62" s="42"/>
      <c r="M62" s="9"/>
      <c r="N62" s="42"/>
      <c r="O62" s="9"/>
      <c r="P62" s="42"/>
      <c r="Q62" s="10"/>
    </row>
    <row r="63" spans="2:17" ht="15.75" hidden="1" customHeight="1" x14ac:dyDescent="0.3">
      <c r="B63" s="43"/>
      <c r="C63" s="8">
        <f>(H62-F62)+(L62-J62)+(N62-P62)</f>
        <v>0</v>
      </c>
      <c r="D63" s="9" t="s">
        <v>19</v>
      </c>
      <c r="E63" s="9"/>
      <c r="F63" s="39"/>
      <c r="G63" s="9"/>
      <c r="H63" s="39"/>
      <c r="I63" s="9"/>
      <c r="J63" s="39"/>
      <c r="K63" s="9"/>
      <c r="L63" s="39"/>
      <c r="M63" s="9"/>
      <c r="N63" s="39"/>
      <c r="O63" s="9"/>
      <c r="P63" s="39"/>
      <c r="Q63" s="1"/>
    </row>
    <row r="64" spans="2:17" ht="15.75" hidden="1" customHeight="1" x14ac:dyDescent="0.3">
      <c r="B64" s="39"/>
      <c r="C64" s="11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"/>
    </row>
    <row r="65" spans="2:17" ht="15.75" hidden="1" customHeight="1" x14ac:dyDescent="0.3"/>
    <row r="66" spans="2:17" ht="15.75" hidden="1" customHeight="1" x14ac:dyDescent="0.3"/>
    <row r="67" spans="2:17" ht="15.75" hidden="1" customHeight="1" x14ac:dyDescent="0.3">
      <c r="B67" s="42" t="s">
        <v>21</v>
      </c>
      <c r="C67" s="2" t="s">
        <v>2</v>
      </c>
      <c r="D67" s="2" t="s">
        <v>3</v>
      </c>
      <c r="E67" s="2"/>
      <c r="F67" s="2" t="s">
        <v>4</v>
      </c>
      <c r="G67" s="2"/>
      <c r="H67" s="2"/>
      <c r="I67" s="2"/>
      <c r="J67" s="2" t="s">
        <v>5</v>
      </c>
      <c r="K67" s="2"/>
      <c r="L67" s="2"/>
      <c r="M67" s="2"/>
      <c r="N67" s="2" t="s">
        <v>6</v>
      </c>
      <c r="O67" s="2"/>
      <c r="P67" s="3"/>
      <c r="Q67" s="4"/>
    </row>
    <row r="68" spans="2:17" ht="15.75" hidden="1" customHeight="1" x14ac:dyDescent="0.3">
      <c r="B68" s="43"/>
      <c r="C68" s="5">
        <f>(F70-H70)+(J70-L70)+(N70-P70)</f>
        <v>0</v>
      </c>
      <c r="D68" s="6" t="s">
        <v>16</v>
      </c>
      <c r="E68" s="6"/>
      <c r="F68" s="6" t="str">
        <f t="shared" ref="F68:F69" si="31">D68</f>
        <v>Jugador 1</v>
      </c>
      <c r="G68" s="38" t="s">
        <v>9</v>
      </c>
      <c r="H68" s="6" t="str">
        <f t="shared" ref="H68:H69" si="32">D70</f>
        <v>Jugador 3</v>
      </c>
      <c r="I68" s="6"/>
      <c r="J68" s="6" t="str">
        <f>D68</f>
        <v>Jugador 1</v>
      </c>
      <c r="K68" s="38" t="s">
        <v>9</v>
      </c>
      <c r="L68" s="6" t="str">
        <f>D69</f>
        <v>Jugador 2</v>
      </c>
      <c r="M68" s="6"/>
      <c r="N68" s="6" t="str">
        <f>D68</f>
        <v>Jugador 1</v>
      </c>
      <c r="O68" s="38" t="s">
        <v>9</v>
      </c>
      <c r="P68" s="6" t="str">
        <f t="shared" ref="P68:P69" si="33">D69</f>
        <v>Jugador 2</v>
      </c>
      <c r="Q68" s="1"/>
    </row>
    <row r="69" spans="2:17" ht="15.75" hidden="1" customHeight="1" x14ac:dyDescent="0.3">
      <c r="B69" s="43"/>
      <c r="C69" s="8">
        <f>(F70-H70)+(L70-J70)+(P70-N70)</f>
        <v>0</v>
      </c>
      <c r="D69" s="9" t="s">
        <v>17</v>
      </c>
      <c r="E69" s="9"/>
      <c r="F69" s="9" t="str">
        <f t="shared" si="31"/>
        <v>Jugador 2</v>
      </c>
      <c r="G69" s="39"/>
      <c r="H69" s="9" t="str">
        <f t="shared" si="32"/>
        <v>Jugador 4</v>
      </c>
      <c r="I69" s="9"/>
      <c r="J69" s="9" t="str">
        <f>D70</f>
        <v>Jugador 3</v>
      </c>
      <c r="K69" s="39"/>
      <c r="L69" s="9" t="str">
        <f>D71</f>
        <v>Jugador 4</v>
      </c>
      <c r="M69" s="9"/>
      <c r="N69" s="9" t="str">
        <f>D71</f>
        <v>Jugador 4</v>
      </c>
      <c r="O69" s="39"/>
      <c r="P69" s="9" t="str">
        <f t="shared" si="33"/>
        <v>Jugador 3</v>
      </c>
      <c r="Q69" s="1"/>
    </row>
    <row r="70" spans="2:17" ht="15.75" hidden="1" customHeight="1" x14ac:dyDescent="0.3">
      <c r="B70" s="43"/>
      <c r="C70" s="8">
        <f>(H70-F70)+(J70-L70)+(P70-N70)</f>
        <v>0</v>
      </c>
      <c r="D70" s="9" t="s">
        <v>18</v>
      </c>
      <c r="E70" s="9"/>
      <c r="F70" s="42"/>
      <c r="G70" s="9"/>
      <c r="H70" s="42"/>
      <c r="I70" s="9"/>
      <c r="J70" s="42"/>
      <c r="K70" s="9"/>
      <c r="L70" s="42"/>
      <c r="M70" s="9"/>
      <c r="N70" s="42"/>
      <c r="O70" s="9"/>
      <c r="P70" s="42"/>
      <c r="Q70" s="10"/>
    </row>
    <row r="71" spans="2:17" ht="15.75" hidden="1" customHeight="1" x14ac:dyDescent="0.3">
      <c r="B71" s="43"/>
      <c r="C71" s="8">
        <f>(H70-F70)+(L70-J70)+(N70-P70)</f>
        <v>0</v>
      </c>
      <c r="D71" s="9" t="s">
        <v>19</v>
      </c>
      <c r="E71" s="9"/>
      <c r="F71" s="39"/>
      <c r="G71" s="9"/>
      <c r="H71" s="39"/>
      <c r="I71" s="9"/>
      <c r="J71" s="39"/>
      <c r="K71" s="9"/>
      <c r="L71" s="39"/>
      <c r="M71" s="9"/>
      <c r="N71" s="39"/>
      <c r="O71" s="9"/>
      <c r="P71" s="39"/>
      <c r="Q71" s="1"/>
    </row>
    <row r="72" spans="2:17" ht="15.75" hidden="1" customHeight="1" x14ac:dyDescent="0.3">
      <c r="B72" s="39"/>
      <c r="C72" s="11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"/>
    </row>
    <row r="73" spans="2:17" ht="15.75" hidden="1" customHeight="1" x14ac:dyDescent="0.3"/>
    <row r="74" spans="2:17" ht="15.75" hidden="1" customHeight="1" x14ac:dyDescent="0.3"/>
    <row r="75" spans="2:17" ht="15.75" customHeight="1" x14ac:dyDescent="0.3"/>
    <row r="76" spans="2:17" ht="15.75" customHeight="1" x14ac:dyDescent="0.3">
      <c r="F76" s="1" t="s">
        <v>22</v>
      </c>
      <c r="G76" s="1">
        <v>1</v>
      </c>
    </row>
    <row r="77" spans="2:17" ht="15.75" customHeight="1" x14ac:dyDescent="0.3"/>
    <row r="78" spans="2:17" ht="15.75" customHeight="1" x14ac:dyDescent="0.3"/>
    <row r="79" spans="2:17" ht="15.75" customHeight="1" x14ac:dyDescent="0.3"/>
    <row r="80" spans="2:17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S3:U27" xr:uid="{00000000-0009-0000-0000-000001000000}">
    <sortState xmlns:xlrd2="http://schemas.microsoft.com/office/spreadsheetml/2017/richdata2" ref="S4:U27">
      <sortCondition ref="S3:S27"/>
    </sortState>
  </autoFilter>
  <mergeCells count="90">
    <mergeCell ref="N62:N63"/>
    <mergeCell ref="P62:P63"/>
    <mergeCell ref="K68:K69"/>
    <mergeCell ref="O68:O69"/>
    <mergeCell ref="H70:H71"/>
    <mergeCell ref="J70:J71"/>
    <mergeCell ref="L70:L71"/>
    <mergeCell ref="N70:N71"/>
    <mergeCell ref="P70:P71"/>
    <mergeCell ref="B43:B48"/>
    <mergeCell ref="B51:B56"/>
    <mergeCell ref="B59:B64"/>
    <mergeCell ref="B67:B72"/>
    <mergeCell ref="F22:F23"/>
    <mergeCell ref="F30:F31"/>
    <mergeCell ref="F38:F39"/>
    <mergeCell ref="F46:F47"/>
    <mergeCell ref="F54:F55"/>
    <mergeCell ref="F62:F63"/>
    <mergeCell ref="F70:F71"/>
    <mergeCell ref="B11:B16"/>
    <mergeCell ref="N14:N15"/>
    <mergeCell ref="B19:B24"/>
    <mergeCell ref="B27:B32"/>
    <mergeCell ref="B35:B40"/>
    <mergeCell ref="G12:G13"/>
    <mergeCell ref="J30:J31"/>
    <mergeCell ref="L30:L31"/>
    <mergeCell ref="N30:N31"/>
    <mergeCell ref="K12:K13"/>
    <mergeCell ref="K28:K29"/>
    <mergeCell ref="F14:F15"/>
    <mergeCell ref="H14:H15"/>
    <mergeCell ref="G20:G21"/>
    <mergeCell ref="K20:K21"/>
    <mergeCell ref="H22:H23"/>
    <mergeCell ref="B3:B8"/>
    <mergeCell ref="K4:K5"/>
    <mergeCell ref="O4:O5"/>
    <mergeCell ref="F6:F7"/>
    <mergeCell ref="H6:H7"/>
    <mergeCell ref="J6:J7"/>
    <mergeCell ref="G4:G5"/>
    <mergeCell ref="G52:G53"/>
    <mergeCell ref="G60:G61"/>
    <mergeCell ref="G68:G69"/>
    <mergeCell ref="J14:J15"/>
    <mergeCell ref="L14:L15"/>
    <mergeCell ref="H62:H63"/>
    <mergeCell ref="J62:J63"/>
    <mergeCell ref="L62:L63"/>
    <mergeCell ref="G28:G29"/>
    <mergeCell ref="G36:G37"/>
    <mergeCell ref="G44:G45"/>
    <mergeCell ref="H54:H55"/>
    <mergeCell ref="J54:J55"/>
    <mergeCell ref="H46:H47"/>
    <mergeCell ref="J46:J47"/>
    <mergeCell ref="H30:H31"/>
    <mergeCell ref="P54:P55"/>
    <mergeCell ref="K60:K61"/>
    <mergeCell ref="O60:O61"/>
    <mergeCell ref="L6:L7"/>
    <mergeCell ref="N6:N7"/>
    <mergeCell ref="P6:P7"/>
    <mergeCell ref="P14:P15"/>
    <mergeCell ref="K52:K53"/>
    <mergeCell ref="O52:O53"/>
    <mergeCell ref="L54:L55"/>
    <mergeCell ref="N54:N55"/>
    <mergeCell ref="P38:P39"/>
    <mergeCell ref="K44:K45"/>
    <mergeCell ref="O44:O45"/>
    <mergeCell ref="L46:L47"/>
    <mergeCell ref="N46:N47"/>
    <mergeCell ref="P46:P47"/>
    <mergeCell ref="K36:K37"/>
    <mergeCell ref="O36:O37"/>
    <mergeCell ref="H38:H39"/>
    <mergeCell ref="J38:J39"/>
    <mergeCell ref="L38:L39"/>
    <mergeCell ref="N38:N39"/>
    <mergeCell ref="P30:P31"/>
    <mergeCell ref="P22:P23"/>
    <mergeCell ref="O28:O29"/>
    <mergeCell ref="J22:J23"/>
    <mergeCell ref="O12:O13"/>
    <mergeCell ref="O20:O21"/>
    <mergeCell ref="L22:L23"/>
    <mergeCell ref="N22:N23"/>
  </mergeCells>
  <pageMargins left="0.7" right="0.7" top="0.75" bottom="0.75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U994"/>
  <sheetViews>
    <sheetView topLeftCell="M1" zoomScale="50" zoomScaleNormal="50" workbookViewId="0">
      <selection activeCell="D28" sqref="D28"/>
    </sheetView>
  </sheetViews>
  <sheetFormatPr baseColWidth="10" defaultColWidth="14.44140625" defaultRowHeight="15" customHeight="1" x14ac:dyDescent="0.3"/>
  <cols>
    <col min="1" max="3" width="10.6640625" customWidth="1"/>
    <col min="4" max="4" width="40.109375" bestFit="1" customWidth="1"/>
    <col min="5" max="5" width="2" bestFit="1" customWidth="1"/>
    <col min="6" max="6" width="39.6640625" bestFit="1" customWidth="1"/>
    <col min="7" max="7" width="3.33203125" bestFit="1" customWidth="1"/>
    <col min="8" max="8" width="37.5546875" bestFit="1" customWidth="1"/>
    <col min="9" max="9" width="10.6640625" customWidth="1"/>
    <col min="10" max="10" width="36.33203125" bestFit="1" customWidth="1"/>
    <col min="11" max="11" width="3.33203125" bestFit="1" customWidth="1"/>
    <col min="12" max="12" width="40.109375" bestFit="1" customWidth="1"/>
    <col min="13" max="13" width="10.6640625" customWidth="1"/>
    <col min="14" max="14" width="37.6640625" bestFit="1" customWidth="1"/>
    <col min="15" max="15" width="3.33203125" bestFit="1" customWidth="1"/>
    <col min="16" max="16" width="39.6640625" bestFit="1" customWidth="1"/>
    <col min="17" max="17" width="2.6640625" customWidth="1"/>
    <col min="18" max="18" width="2" customWidth="1"/>
    <col min="19" max="19" width="9.5546875" customWidth="1"/>
    <col min="20" max="20" width="6.88671875" customWidth="1"/>
    <col min="21" max="21" width="33.5546875" customWidth="1"/>
    <col min="22" max="26" width="10.6640625" customWidth="1"/>
  </cols>
  <sheetData>
    <row r="2" spans="2:21" thickBot="1" x14ac:dyDescent="0.35">
      <c r="S2" s="55" t="s">
        <v>23</v>
      </c>
      <c r="T2" s="56"/>
      <c r="U2" s="56"/>
    </row>
    <row r="3" spans="2:21" thickBot="1" x14ac:dyDescent="0.35">
      <c r="B3" s="52" t="s">
        <v>46</v>
      </c>
      <c r="C3" s="2" t="s">
        <v>2</v>
      </c>
      <c r="D3" s="2" t="s">
        <v>3</v>
      </c>
      <c r="E3" s="2"/>
      <c r="F3" s="44" t="s">
        <v>4</v>
      </c>
      <c r="G3" s="45"/>
      <c r="H3" s="46"/>
      <c r="I3" s="33"/>
      <c r="J3" s="44" t="s">
        <v>5</v>
      </c>
      <c r="K3" s="45"/>
      <c r="L3" s="46"/>
      <c r="M3" s="2"/>
      <c r="N3" s="44" t="s">
        <v>6</v>
      </c>
      <c r="O3" s="45"/>
      <c r="P3" s="46"/>
      <c r="S3" s="1" t="s">
        <v>8</v>
      </c>
      <c r="T3" s="1" t="s">
        <v>2</v>
      </c>
      <c r="U3" s="1" t="s">
        <v>3</v>
      </c>
    </row>
    <row r="4" spans="2:21" ht="15.6" x14ac:dyDescent="0.3">
      <c r="B4" s="53"/>
      <c r="C4" s="5">
        <f>(F6-H6)+(J6-L6)+(N6-P6)</f>
        <v>11</v>
      </c>
      <c r="D4" s="6" t="str">
        <f t="array" ref="D4">INDEX('Jornada 1'!D$4:D$7, MATCH(1,'Jornada 1'!E$4:E$7,0))</f>
        <v>MAURICIO ALEJANDRO BAUTISTA</v>
      </c>
      <c r="E4" s="17">
        <f t="shared" ref="E4:E7" si="0">COUNTIF(C$4:C$7,"&gt;"&amp;C4)+COUNTIF($C$4:C4,C4)</f>
        <v>1</v>
      </c>
      <c r="F4" s="20" t="str">
        <f t="shared" ref="F4:F5" si="1">D4</f>
        <v>MAURICIO ALEJANDRO BAUTISTA</v>
      </c>
      <c r="G4" s="48" t="s">
        <v>9</v>
      </c>
      <c r="H4" s="21" t="str">
        <f t="shared" ref="H4:H5" si="2">D6</f>
        <v xml:space="preserve">NICOLAS MAXIMILIANO BRILL HERRERA </v>
      </c>
      <c r="I4" s="34"/>
      <c r="J4" s="20" t="str">
        <f>D4</f>
        <v>MAURICIO ALEJANDRO BAUTISTA</v>
      </c>
      <c r="K4" s="48" t="s">
        <v>9</v>
      </c>
      <c r="L4" s="21" t="str">
        <f>D5</f>
        <v>MARIANO GOMEZ VUILLEUMIER</v>
      </c>
      <c r="M4" s="27"/>
      <c r="N4" s="20" t="str">
        <f>D4</f>
        <v>MAURICIO ALEJANDRO BAUTISTA</v>
      </c>
      <c r="O4" s="48" t="s">
        <v>9</v>
      </c>
      <c r="P4" s="21" t="str">
        <f t="shared" ref="P4:P5" si="3">D5</f>
        <v>MARIANO GOMEZ VUILLEUMIER</v>
      </c>
      <c r="R4" s="7"/>
      <c r="S4" s="7">
        <f t="shared" ref="S4:S27" si="4">COUNTIF(T$4:T$27,"&gt;"&amp;T4)+1</f>
        <v>1</v>
      </c>
      <c r="T4" s="7">
        <f>$C$4</f>
        <v>11</v>
      </c>
      <c r="U4" s="32" t="str">
        <f>$D$4</f>
        <v>MAURICIO ALEJANDRO BAUTISTA</v>
      </c>
    </row>
    <row r="5" spans="2:21" ht="15.6" x14ac:dyDescent="0.3">
      <c r="B5" s="53"/>
      <c r="C5" s="8">
        <f>(F6-H6)+(L6-J6)+(P6-N6)</f>
        <v>-3</v>
      </c>
      <c r="D5" s="6" t="str">
        <f t="array" ref="D5">INDEX('Jornada 1'!D$4:D$7, MATCH(2,'Jornada 1'!E$4:E$7,0))</f>
        <v>MARIANO GOMEZ VUILLEUMIER</v>
      </c>
      <c r="E5" s="17">
        <f t="shared" si="0"/>
        <v>2</v>
      </c>
      <c r="F5" s="22" t="str">
        <f t="shared" si="1"/>
        <v>MARIANO GOMEZ VUILLEUMIER</v>
      </c>
      <c r="G5" s="38"/>
      <c r="H5" s="23" t="str">
        <f t="shared" si="2"/>
        <v>MARIANO NAVARRO LEAÑO</v>
      </c>
      <c r="I5" s="34"/>
      <c r="J5" s="22" t="str">
        <f>D6</f>
        <v xml:space="preserve">NICOLAS MAXIMILIANO BRILL HERRERA </v>
      </c>
      <c r="K5" s="38"/>
      <c r="L5" s="23" t="str">
        <f>D7</f>
        <v>MARIANO NAVARRO LEAÑO</v>
      </c>
      <c r="M5" s="28"/>
      <c r="N5" s="22" t="str">
        <f>D7</f>
        <v>MARIANO NAVARRO LEAÑO</v>
      </c>
      <c r="O5" s="38"/>
      <c r="P5" s="23" t="str">
        <f t="shared" si="3"/>
        <v xml:space="preserve">NICOLAS MAXIMILIANO BRILL HERRERA </v>
      </c>
      <c r="R5" s="7"/>
      <c r="S5" s="7">
        <f t="shared" si="4"/>
        <v>2</v>
      </c>
      <c r="T5" s="7">
        <f>$C$11</f>
        <v>9</v>
      </c>
      <c r="U5" s="32" t="str">
        <f>$D$11</f>
        <v>IAN DE LA BARQUERA</v>
      </c>
    </row>
    <row r="6" spans="2:21" ht="15.6" x14ac:dyDescent="0.3">
      <c r="B6" s="53"/>
      <c r="C6" s="8">
        <f>(H6-F6)+(J6-L6)+(P6-N6)</f>
        <v>-3</v>
      </c>
      <c r="D6" s="6" t="str">
        <f t="array" ref="D6">IF('Jornada 1'!G76=1,INDEX('Jornada 1'!D$4:D$7,MATCH(3,'Jornada 1'!E$4:E$7,0)),INDEX('Jornada 1'!D$12:D$15,MATCH(1,'Jornada 1'!E$12:E$15,0)))</f>
        <v xml:space="preserve">NICOLAS MAXIMILIANO BRILL HERRERA </v>
      </c>
      <c r="E6" s="17">
        <f t="shared" si="0"/>
        <v>3</v>
      </c>
      <c r="F6" s="40">
        <v>4</v>
      </c>
      <c r="G6" s="38"/>
      <c r="H6" s="36">
        <v>0</v>
      </c>
      <c r="I6" s="34"/>
      <c r="J6" s="40">
        <v>4</v>
      </c>
      <c r="K6" s="38"/>
      <c r="L6" s="36">
        <v>0</v>
      </c>
      <c r="M6" s="28"/>
      <c r="N6" s="40">
        <v>4</v>
      </c>
      <c r="O6" s="38"/>
      <c r="P6" s="36">
        <v>1</v>
      </c>
      <c r="R6" s="7"/>
      <c r="S6" s="7">
        <f t="shared" si="4"/>
        <v>2</v>
      </c>
      <c r="T6" s="7">
        <f>$C$28</f>
        <v>9</v>
      </c>
      <c r="U6" s="32" t="str">
        <f>$D$28</f>
        <v>MAURICIO LOZANO CASTILLERO</v>
      </c>
    </row>
    <row r="7" spans="2:21" ht="16.2" thickBot="1" x14ac:dyDescent="0.35">
      <c r="B7" s="53"/>
      <c r="C7" s="8">
        <f>(H6-F6)+(L6-J6)+(N6-P6)</f>
        <v>-5</v>
      </c>
      <c r="D7" s="6" t="str">
        <f t="array" ref="D7">IF('Jornada 1'!G76=1,INDEX('Jornada 1'!D$12:D$15,MATCH(1,'Jornada 1'!E$12:E$15,0)),INDEX('Jornada 1'!D$12:D$15,MATCH(2,'Jornada 1'!E$12:E$15,0)))</f>
        <v>MARIANO NAVARRO LEAÑO</v>
      </c>
      <c r="E7" s="17">
        <f t="shared" si="0"/>
        <v>4</v>
      </c>
      <c r="F7" s="50"/>
      <c r="G7" s="49"/>
      <c r="H7" s="47"/>
      <c r="I7" s="34"/>
      <c r="J7" s="50"/>
      <c r="K7" s="49"/>
      <c r="L7" s="47"/>
      <c r="M7" s="28"/>
      <c r="N7" s="50"/>
      <c r="O7" s="49"/>
      <c r="P7" s="47"/>
      <c r="R7" s="7"/>
      <c r="S7" s="7">
        <f t="shared" si="4"/>
        <v>4</v>
      </c>
      <c r="T7" s="7">
        <f>$C$18</f>
        <v>8</v>
      </c>
      <c r="U7" s="32" t="str">
        <f>$D$18</f>
        <v xml:space="preserve">IKER FRANCISCO NORIEGA JIMENEZ </v>
      </c>
    </row>
    <row r="8" spans="2:21" ht="15.6" x14ac:dyDescent="0.3">
      <c r="B8" s="35"/>
      <c r="R8" s="7"/>
      <c r="S8" s="7">
        <f t="shared" si="4"/>
        <v>5</v>
      </c>
      <c r="T8" s="7">
        <f>$C$40</f>
        <v>5</v>
      </c>
      <c r="U8" s="32" t="str">
        <f>$D$40</f>
        <v>LEO LUCERO KOLB</v>
      </c>
    </row>
    <row r="9" spans="2:21" ht="16.2" thickBot="1" x14ac:dyDescent="0.35">
      <c r="R9" s="7"/>
      <c r="S9" s="7">
        <f t="shared" si="4"/>
        <v>6</v>
      </c>
      <c r="T9" s="7">
        <f>$C$32</f>
        <v>4</v>
      </c>
      <c r="U9" s="32" t="str">
        <f>$D$32</f>
        <v>MAXIMILIANO HERNÁNDEZ OROZCO</v>
      </c>
    </row>
    <row r="10" spans="2:21" ht="16.2" thickBot="1" x14ac:dyDescent="0.35">
      <c r="B10" s="52" t="s">
        <v>47</v>
      </c>
      <c r="C10" s="2" t="s">
        <v>2</v>
      </c>
      <c r="D10" s="2" t="s">
        <v>3</v>
      </c>
      <c r="E10" s="2"/>
      <c r="F10" s="44" t="s">
        <v>4</v>
      </c>
      <c r="G10" s="45"/>
      <c r="H10" s="46"/>
      <c r="I10" s="33"/>
      <c r="J10" s="44" t="s">
        <v>5</v>
      </c>
      <c r="K10" s="45"/>
      <c r="L10" s="46"/>
      <c r="M10" s="2"/>
      <c r="N10" s="44" t="s">
        <v>6</v>
      </c>
      <c r="O10" s="45"/>
      <c r="P10" s="46"/>
      <c r="R10" s="7"/>
      <c r="S10" s="7">
        <f t="shared" si="4"/>
        <v>6</v>
      </c>
      <c r="T10" s="7">
        <f>$C$34</f>
        <v>4</v>
      </c>
      <c r="U10" s="32" t="str">
        <f>$D$34</f>
        <v>ESTEFANO ROLANDO BECERRA HERNANDEZ</v>
      </c>
    </row>
    <row r="11" spans="2:21" ht="15.6" x14ac:dyDescent="0.3">
      <c r="B11" s="53"/>
      <c r="C11" s="5">
        <f>(F13-H13)+(J13-L13)+(N13-P13)</f>
        <v>9</v>
      </c>
      <c r="D11" s="6" t="str">
        <f t="array" ref="D11">IF('Jornada 1'!G$76=1,INDEX('Jornada 1'!D$4:D$7,MATCH(4,'Jornada 1'!E$4:E$7,0)),INDEX('Jornada 1'!D$4:D$7,MATCH(3,'Jornada 1'!E$4:E$7,0)))</f>
        <v>IAN DE LA BARQUERA</v>
      </c>
      <c r="E11" s="17">
        <f t="shared" ref="E11:E14" si="5">COUNTIF(C$11:C$14,"&gt;"&amp;C11)+COUNTIF($C$11:C11,C11)</f>
        <v>1</v>
      </c>
      <c r="F11" s="20" t="str">
        <f t="shared" ref="F11:F12" si="6">D11</f>
        <v>IAN DE LA BARQUERA</v>
      </c>
      <c r="G11" s="48" t="s">
        <v>9</v>
      </c>
      <c r="H11" s="21" t="str">
        <f t="shared" ref="H11:H12" si="7">D13</f>
        <v xml:space="preserve">ALONSO CISNEROS SANCHEZ </v>
      </c>
      <c r="I11" s="34"/>
      <c r="J11" s="20" t="str">
        <f>D11</f>
        <v>IAN DE LA BARQUERA</v>
      </c>
      <c r="K11" s="48" t="s">
        <v>9</v>
      </c>
      <c r="L11" s="21" t="str">
        <f>D12</f>
        <v>ELISA CAROLINA DIAZ LAGUNA</v>
      </c>
      <c r="M11" s="27"/>
      <c r="N11" s="20" t="str">
        <f>D11</f>
        <v>IAN DE LA BARQUERA</v>
      </c>
      <c r="O11" s="48" t="s">
        <v>9</v>
      </c>
      <c r="P11" s="21" t="str">
        <f t="shared" ref="P11:P12" si="8">D12</f>
        <v>ELISA CAROLINA DIAZ LAGUNA</v>
      </c>
      <c r="R11" s="7"/>
      <c r="S11" s="7">
        <f t="shared" si="4"/>
        <v>8</v>
      </c>
      <c r="T11" s="7">
        <f>$C$39</f>
        <v>3</v>
      </c>
      <c r="U11" s="32" t="str">
        <f>$D$39</f>
        <v>LUCAS CONTRERAS PADRÓN</v>
      </c>
    </row>
    <row r="12" spans="2:21" ht="15.6" x14ac:dyDescent="0.3">
      <c r="B12" s="53"/>
      <c r="C12" s="8">
        <f>(F13-H13)+(L13-J13)+(P13-N13)</f>
        <v>-1</v>
      </c>
      <c r="D12" s="9" t="str">
        <f t="array" ref="D12">IF('Jornada 1'!G$76=1,INDEX('Jornada 1'!D$12:D$15,MATCH(2,'Jornada 1'!E$12:E$15,0)),INDEX('Jornada 1'!D$4:D$7,MATCH(4,'Jornada 1'!E$4:E$7,0)))</f>
        <v>ELISA CAROLINA DIAZ LAGUNA</v>
      </c>
      <c r="E12" s="17">
        <f t="shared" si="5"/>
        <v>2</v>
      </c>
      <c r="F12" s="22" t="str">
        <f t="shared" si="6"/>
        <v>ELISA CAROLINA DIAZ LAGUNA</v>
      </c>
      <c r="G12" s="38"/>
      <c r="H12" s="23" t="str">
        <f t="shared" si="7"/>
        <v xml:space="preserve">JESUS ANTONIO SEPULVEDA RODRIGUEZ </v>
      </c>
      <c r="I12" s="34"/>
      <c r="J12" s="22" t="str">
        <f>D13</f>
        <v xml:space="preserve">ALONSO CISNEROS SANCHEZ </v>
      </c>
      <c r="K12" s="38"/>
      <c r="L12" s="23" t="str">
        <f>D14</f>
        <v xml:space="preserve">JESUS ANTONIO SEPULVEDA RODRIGUEZ </v>
      </c>
      <c r="M12" s="28"/>
      <c r="N12" s="22" t="str">
        <f>D14</f>
        <v xml:space="preserve">JESUS ANTONIO SEPULVEDA RODRIGUEZ </v>
      </c>
      <c r="O12" s="38"/>
      <c r="P12" s="23" t="str">
        <f t="shared" si="8"/>
        <v xml:space="preserve">ALONSO CISNEROS SANCHEZ </v>
      </c>
      <c r="R12" s="7"/>
      <c r="S12" s="7">
        <f t="shared" si="4"/>
        <v>8</v>
      </c>
      <c r="T12" s="7">
        <f>$C$41</f>
        <v>3</v>
      </c>
      <c r="U12" s="32" t="str">
        <f>$D$41</f>
        <v>ADRIANA ESPINOZA SALDAÑA</v>
      </c>
    </row>
    <row r="13" spans="2:21" ht="15.6" x14ac:dyDescent="0.3">
      <c r="B13" s="53"/>
      <c r="C13" s="8">
        <f>(H13-F13)+(J13-L13)+(P13-N13)</f>
        <v>-5</v>
      </c>
      <c r="D13" s="9" t="str">
        <f t="array" ref="D13">IF('Jornada 1'!G$76=1,INDEX('Jornada 1'!D$12:D$15,MATCH(3,'Jornada 1'!E$12:E$15,0)),INDEX('Jornada 1'!D$20:D$23,MATCH(1,'Jornada 1'!E$20:E$23,0)))</f>
        <v xml:space="preserve">ALONSO CISNEROS SANCHEZ </v>
      </c>
      <c r="E13" s="17">
        <f t="shared" si="5"/>
        <v>4</v>
      </c>
      <c r="F13" s="40">
        <v>4</v>
      </c>
      <c r="G13" s="38"/>
      <c r="H13" s="36">
        <v>0</v>
      </c>
      <c r="I13" s="34"/>
      <c r="J13" s="40">
        <v>4</v>
      </c>
      <c r="K13" s="38"/>
      <c r="L13" s="36">
        <v>2</v>
      </c>
      <c r="M13" s="28"/>
      <c r="N13" s="40">
        <v>4</v>
      </c>
      <c r="O13" s="38"/>
      <c r="P13" s="36">
        <v>1</v>
      </c>
      <c r="R13" s="7"/>
      <c r="S13" s="7">
        <f t="shared" si="4"/>
        <v>10</v>
      </c>
      <c r="T13" s="7">
        <f>$C$33</f>
        <v>2</v>
      </c>
      <c r="U13" s="32" t="str">
        <f>$D$33</f>
        <v>JOSUÉ SANTIAGO PÉREZ MEDINA</v>
      </c>
    </row>
    <row r="14" spans="2:21" ht="16.2" thickBot="1" x14ac:dyDescent="0.35">
      <c r="B14" s="54"/>
      <c r="C14" s="8">
        <f>(H13-F13)+(L13-J13)+(N13-P13)</f>
        <v>-3</v>
      </c>
      <c r="D14" s="9" t="str">
        <f t="array" ref="D14">IF('Jornada 1'!G$76=1,INDEX('Jornada 1'!D$20:D$23,MATCH(1,'Jornada 1'!E$20:E$23,0)),INDEX('Jornada 1'!D$20:D$23,MATCH(2,'Jornada 1'!E$20:E$23,0)))</f>
        <v xml:space="preserve">JESUS ANTONIO SEPULVEDA RODRIGUEZ </v>
      </c>
      <c r="E14" s="17">
        <f t="shared" si="5"/>
        <v>3</v>
      </c>
      <c r="F14" s="50"/>
      <c r="G14" s="49"/>
      <c r="H14" s="47"/>
      <c r="I14" s="34"/>
      <c r="J14" s="50"/>
      <c r="K14" s="49"/>
      <c r="L14" s="47"/>
      <c r="M14" s="28"/>
      <c r="N14" s="50"/>
      <c r="O14" s="49"/>
      <c r="P14" s="47"/>
      <c r="R14" s="7"/>
      <c r="S14" s="7">
        <f t="shared" si="4"/>
        <v>11</v>
      </c>
      <c r="T14" s="7">
        <f>$C$20</f>
        <v>0</v>
      </c>
      <c r="U14" s="32" t="str">
        <f>$D$20</f>
        <v>DIEGO PATRICIO FERNANDEZ VIERA</v>
      </c>
    </row>
    <row r="15" spans="2:21" ht="15.6" x14ac:dyDescent="0.3">
      <c r="R15" s="7"/>
      <c r="S15" s="7">
        <f t="shared" si="4"/>
        <v>12</v>
      </c>
      <c r="T15" s="7">
        <f>$C$12</f>
        <v>-1</v>
      </c>
      <c r="U15" s="32" t="str">
        <f>$D$12</f>
        <v>ELISA CAROLINA DIAZ LAGUNA</v>
      </c>
    </row>
    <row r="16" spans="2:21" ht="16.2" thickBot="1" x14ac:dyDescent="0.35">
      <c r="R16" s="7"/>
      <c r="S16" s="7">
        <f t="shared" si="4"/>
        <v>12</v>
      </c>
      <c r="T16" s="7">
        <f>$C$27</f>
        <v>-1</v>
      </c>
      <c r="U16" s="32" t="str">
        <f>$D$27</f>
        <v>JOSE EMILIANO VAZQUEZ NUÑO</v>
      </c>
    </row>
    <row r="17" spans="2:21" ht="16.2" thickBot="1" x14ac:dyDescent="0.35">
      <c r="B17" s="52" t="s">
        <v>48</v>
      </c>
      <c r="C17" s="2" t="s">
        <v>2</v>
      </c>
      <c r="D17" s="2" t="s">
        <v>3</v>
      </c>
      <c r="E17" s="2"/>
      <c r="F17" s="44" t="s">
        <v>4</v>
      </c>
      <c r="G17" s="45"/>
      <c r="H17" s="46"/>
      <c r="I17" s="33"/>
      <c r="J17" s="44" t="s">
        <v>5</v>
      </c>
      <c r="K17" s="45"/>
      <c r="L17" s="46"/>
      <c r="M17" s="2"/>
      <c r="N17" s="44" t="s">
        <v>6</v>
      </c>
      <c r="O17" s="45"/>
      <c r="P17" s="46"/>
      <c r="R17" s="7"/>
      <c r="S17" s="7">
        <f t="shared" si="4"/>
        <v>14</v>
      </c>
      <c r="T17" s="7">
        <f>$C$5</f>
        <v>-3</v>
      </c>
      <c r="U17" s="32" t="str">
        <f>$D$5</f>
        <v>MARIANO GOMEZ VUILLEUMIER</v>
      </c>
    </row>
    <row r="18" spans="2:21" ht="15.6" x14ac:dyDescent="0.3">
      <c r="B18" s="53"/>
      <c r="C18" s="5">
        <f>(F20-H20)+(J20-L20)+(N20-P20)</f>
        <v>8</v>
      </c>
      <c r="D18" s="6" t="str">
        <f t="array" ref="D18">IF('Jornada 1'!G$76=1,INDEX('Jornada 1'!D$12:D$15,MATCH(4,'Jornada 1'!E$12:E$15,0)),INDEX('Jornada 1'!D$12:D$15,MATCH(3,'Jornada 1'!E$12:E$15,0)))</f>
        <v xml:space="preserve">IKER FRANCISCO NORIEGA JIMENEZ </v>
      </c>
      <c r="E18" s="17">
        <f t="shared" ref="E18:E21" si="9">COUNTIF(C$18:C$21,"&gt;"&amp;C18)+COUNTIF($C$18:C18,C18)</f>
        <v>1</v>
      </c>
      <c r="F18" s="20" t="str">
        <f t="shared" ref="F18:F19" si="10">D18</f>
        <v xml:space="preserve">IKER FRANCISCO NORIEGA JIMENEZ </v>
      </c>
      <c r="G18" s="48" t="s">
        <v>9</v>
      </c>
      <c r="H18" s="21" t="str">
        <f t="shared" ref="H18:H19" si="11">D20</f>
        <v>DIEGO PATRICIO FERNANDEZ VIERA</v>
      </c>
      <c r="I18" s="34"/>
      <c r="J18" s="20" t="str">
        <f>D18</f>
        <v xml:space="preserve">IKER FRANCISCO NORIEGA JIMENEZ </v>
      </c>
      <c r="K18" s="48" t="s">
        <v>9</v>
      </c>
      <c r="L18" s="21" t="str">
        <f>D19</f>
        <v>EMILIO MATEO OLIVARES CORTÉS</v>
      </c>
      <c r="M18" s="27"/>
      <c r="N18" s="20" t="str">
        <f>D18</f>
        <v xml:space="preserve">IKER FRANCISCO NORIEGA JIMENEZ </v>
      </c>
      <c r="O18" s="48" t="s">
        <v>9</v>
      </c>
      <c r="P18" s="21" t="str">
        <f t="shared" ref="P18:P19" si="12">D19</f>
        <v>EMILIO MATEO OLIVARES CORTÉS</v>
      </c>
      <c r="R18" s="7"/>
      <c r="S18" s="7">
        <f t="shared" si="4"/>
        <v>14</v>
      </c>
      <c r="T18" s="7">
        <f>$C$6</f>
        <v>-3</v>
      </c>
      <c r="U18" s="32" t="str">
        <f>$D$6</f>
        <v xml:space="preserve">NICOLAS MAXIMILIANO BRILL HERRERA </v>
      </c>
    </row>
    <row r="19" spans="2:21" ht="15.75" customHeight="1" x14ac:dyDescent="0.3">
      <c r="B19" s="53"/>
      <c r="C19" s="8">
        <f>(F20-H20)+(L20-J20)+(P20-N20)</f>
        <v>-4</v>
      </c>
      <c r="D19" s="9" t="str">
        <f t="array" ref="D19">IF('Jornada 1'!G$76=1,INDEX('Jornada 1'!D$20:D$23,MATCH(2,'Jornada 1'!E$20:E$23,0)),INDEX('Jornada 1'!D$12:D$15,MATCH(4,'Jornada 1'!E$12:E$15,0)))</f>
        <v>EMILIO MATEO OLIVARES CORTÉS</v>
      </c>
      <c r="E19" s="17">
        <f t="shared" si="9"/>
        <v>3</v>
      </c>
      <c r="F19" s="22" t="str">
        <f t="shared" si="10"/>
        <v>EMILIO MATEO OLIVARES CORTÉS</v>
      </c>
      <c r="G19" s="38"/>
      <c r="H19" s="23" t="str">
        <f t="shared" si="11"/>
        <v>MIGUEL ALCARAZ AMEZCUA</v>
      </c>
      <c r="I19" s="34"/>
      <c r="J19" s="22" t="str">
        <f>D20</f>
        <v>DIEGO PATRICIO FERNANDEZ VIERA</v>
      </c>
      <c r="K19" s="38"/>
      <c r="L19" s="23" t="str">
        <f>D21</f>
        <v>MIGUEL ALCARAZ AMEZCUA</v>
      </c>
      <c r="M19" s="28"/>
      <c r="N19" s="22" t="str">
        <f>D21</f>
        <v>MIGUEL ALCARAZ AMEZCUA</v>
      </c>
      <c r="O19" s="38"/>
      <c r="P19" s="23" t="str">
        <f t="shared" si="12"/>
        <v>DIEGO PATRICIO FERNANDEZ VIERA</v>
      </c>
      <c r="R19" s="7"/>
      <c r="S19" s="7">
        <f t="shared" si="4"/>
        <v>14</v>
      </c>
      <c r="T19" s="7">
        <f>$C$14</f>
        <v>-3</v>
      </c>
      <c r="U19" s="32" t="str">
        <f>$D$14</f>
        <v xml:space="preserve">JESUS ANTONIO SEPULVEDA RODRIGUEZ </v>
      </c>
    </row>
    <row r="20" spans="2:21" ht="15.75" customHeight="1" x14ac:dyDescent="0.3">
      <c r="B20" s="53"/>
      <c r="C20" s="8">
        <f>(H20-F20)+(J20-L20)+(P20-N20)</f>
        <v>0</v>
      </c>
      <c r="D20" s="9" t="str">
        <f t="array" ref="D20">IF('Jornada 1'!G$76=1,INDEX('Jornada 1'!D$20:D$23,MATCH(3,'Jornada 1'!E$20:E$23,0)),INDEX('Jornada 1'!D$28:D$31,MATCH(1,'Jornada 1'!E$28:E$31,0)))</f>
        <v>DIEGO PATRICIO FERNANDEZ VIERA</v>
      </c>
      <c r="E20" s="17">
        <f t="shared" si="9"/>
        <v>2</v>
      </c>
      <c r="F20" s="40">
        <v>4</v>
      </c>
      <c r="G20" s="38"/>
      <c r="H20" s="36">
        <v>2</v>
      </c>
      <c r="I20" s="34"/>
      <c r="J20" s="40">
        <v>4</v>
      </c>
      <c r="K20" s="38"/>
      <c r="L20" s="36">
        <v>0</v>
      </c>
      <c r="M20" s="28"/>
      <c r="N20" s="40">
        <v>4</v>
      </c>
      <c r="O20" s="38"/>
      <c r="P20" s="36">
        <v>2</v>
      </c>
      <c r="R20" s="7"/>
      <c r="S20" s="7">
        <f t="shared" si="4"/>
        <v>14</v>
      </c>
      <c r="T20" s="7">
        <f>$C$26</f>
        <v>-3</v>
      </c>
      <c r="U20" s="32" t="str">
        <f>$D$26</f>
        <v>CAMILO RODRIGUEZ PACHECO</v>
      </c>
    </row>
    <row r="21" spans="2:21" ht="15.75" customHeight="1" thickBot="1" x14ac:dyDescent="0.35">
      <c r="B21" s="54"/>
      <c r="C21" s="8">
        <f>(H20-F20)+(L20-J20)+(N20-P20)</f>
        <v>-4</v>
      </c>
      <c r="D21" s="9" t="str">
        <f t="array" ref="D21">IF('Jornada 1'!G$76=1,INDEX('Jornada 1'!D$28:D$31,MATCH(1,'Jornada 1'!E$28:E$31,0)),INDEX('Jornada 1'!D$28:D$31,MATCH(2,'Jornada 1'!E$28:E$31,0)))</f>
        <v>MIGUEL ALCARAZ AMEZCUA</v>
      </c>
      <c r="E21" s="17">
        <f t="shared" si="9"/>
        <v>4</v>
      </c>
      <c r="F21" s="50"/>
      <c r="G21" s="49"/>
      <c r="H21" s="47"/>
      <c r="I21" s="34"/>
      <c r="J21" s="50"/>
      <c r="K21" s="49"/>
      <c r="L21" s="47"/>
      <c r="M21" s="28"/>
      <c r="N21" s="50"/>
      <c r="O21" s="49"/>
      <c r="P21" s="47"/>
      <c r="R21" s="7"/>
      <c r="S21" s="7">
        <f t="shared" si="4"/>
        <v>18</v>
      </c>
      <c r="T21" s="7">
        <f>$C$19</f>
        <v>-4</v>
      </c>
      <c r="U21" s="32" t="str">
        <f>$D$19</f>
        <v>EMILIO MATEO OLIVARES CORTÉS</v>
      </c>
    </row>
    <row r="22" spans="2:21" ht="15.75" customHeight="1" x14ac:dyDescent="0.3">
      <c r="R22" s="7"/>
      <c r="S22" s="7">
        <f t="shared" si="4"/>
        <v>18</v>
      </c>
      <c r="T22" s="7">
        <f>$C$21</f>
        <v>-4</v>
      </c>
      <c r="U22" s="32" t="str">
        <f>$D$21</f>
        <v>MIGUEL ALCARAZ AMEZCUA</v>
      </c>
    </row>
    <row r="23" spans="2:21" ht="15.75" customHeight="1" thickBot="1" x14ac:dyDescent="0.35">
      <c r="R23" s="7"/>
      <c r="S23" s="7">
        <f t="shared" si="4"/>
        <v>20</v>
      </c>
      <c r="T23" s="7">
        <f>$C$7</f>
        <v>-5</v>
      </c>
      <c r="U23" s="32" t="str">
        <f>$D$7</f>
        <v>MARIANO NAVARRO LEAÑO</v>
      </c>
    </row>
    <row r="24" spans="2:21" ht="15.75" customHeight="1" thickBot="1" x14ac:dyDescent="0.35">
      <c r="B24" s="52" t="s">
        <v>49</v>
      </c>
      <c r="C24" s="2" t="s">
        <v>2</v>
      </c>
      <c r="D24" s="2" t="s">
        <v>3</v>
      </c>
      <c r="E24" s="2"/>
      <c r="F24" s="44" t="s">
        <v>4</v>
      </c>
      <c r="G24" s="45"/>
      <c r="H24" s="46"/>
      <c r="I24" s="33"/>
      <c r="J24" s="44" t="s">
        <v>5</v>
      </c>
      <c r="K24" s="45"/>
      <c r="L24" s="46"/>
      <c r="M24" s="2"/>
      <c r="N24" s="44" t="s">
        <v>6</v>
      </c>
      <c r="O24" s="45"/>
      <c r="P24" s="46"/>
      <c r="R24" s="7"/>
      <c r="S24" s="7">
        <f t="shared" si="4"/>
        <v>20</v>
      </c>
      <c r="T24" s="7">
        <f>$C$13</f>
        <v>-5</v>
      </c>
      <c r="U24" s="32" t="str">
        <f>$D$13</f>
        <v xml:space="preserve">ALONSO CISNEROS SANCHEZ </v>
      </c>
    </row>
    <row r="25" spans="2:21" ht="15.75" customHeight="1" x14ac:dyDescent="0.3">
      <c r="B25" s="53"/>
      <c r="C25" s="5">
        <f>(F27-H27)+(J27-L27)+(N27-P27)</f>
        <v>-5</v>
      </c>
      <c r="D25" s="9" t="str">
        <f t="array" ref="D25">IF('Jornada 1'!G$76=1,INDEX('Jornada 1'!D$28:D$31,MATCH(2,'Jornada 1'!E$28:E$31,0)),INDEX('Jornada 1'!D$20:D$23,MATCH(4,'Jornada 1'!E$20:E$23,0)))</f>
        <v>ALEJANDRO CAMARENA LOPEZ</v>
      </c>
      <c r="E25" s="17">
        <f t="shared" ref="E25:E28" si="13">COUNTIF(C$25:C$28,"&gt;"&amp;C25)+COUNTIF($C$25:C25,C25)</f>
        <v>4</v>
      </c>
      <c r="F25" s="20" t="str">
        <f t="shared" ref="F25:F26" si="14">D25</f>
        <v>ALEJANDRO CAMARENA LOPEZ</v>
      </c>
      <c r="G25" s="48" t="s">
        <v>9</v>
      </c>
      <c r="H25" s="21" t="str">
        <f t="shared" ref="H25" si="15">D27</f>
        <v>JOSE EMILIANO VAZQUEZ NUÑO</v>
      </c>
      <c r="I25" s="34"/>
      <c r="J25" s="20" t="str">
        <f>D25</f>
        <v>ALEJANDRO CAMARENA LOPEZ</v>
      </c>
      <c r="K25" s="48" t="s">
        <v>9</v>
      </c>
      <c r="L25" s="21" t="str">
        <f>D26</f>
        <v>CAMILO RODRIGUEZ PACHECO</v>
      </c>
      <c r="M25" s="27"/>
      <c r="N25" s="20" t="str">
        <f>D25</f>
        <v>ALEJANDRO CAMARENA LOPEZ</v>
      </c>
      <c r="O25" s="48" t="s">
        <v>9</v>
      </c>
      <c r="P25" s="21" t="str">
        <f t="shared" ref="P25:P26" si="16">D26</f>
        <v>CAMILO RODRIGUEZ PACHECO</v>
      </c>
      <c r="S25" s="7">
        <f t="shared" si="4"/>
        <v>20</v>
      </c>
      <c r="T25" s="7">
        <f>$C$25</f>
        <v>-5</v>
      </c>
      <c r="U25" s="32" t="str">
        <f>$D$25</f>
        <v>ALEJANDRO CAMARENA LOPEZ</v>
      </c>
    </row>
    <row r="26" spans="2:21" ht="15.75" customHeight="1" x14ac:dyDescent="0.3">
      <c r="B26" s="53"/>
      <c r="C26" s="8">
        <f>(F27-H27)+(L27-J27)+(P27-N27)</f>
        <v>-3</v>
      </c>
      <c r="D26" s="9" t="str">
        <f t="array" ref="D26">IF('Jornada 1'!G$76=1,INDEX('Jornada 1'!D$28:D$31,MATCH(3,'Jornada 1'!E$28:E$31,0)),INDEX('Jornada 1'!D$36:D$39,MATCH(1,'Jornada 1'!E$36:E$39,0)))</f>
        <v>CAMILO RODRIGUEZ PACHECO</v>
      </c>
      <c r="E26" s="17">
        <f t="shared" si="13"/>
        <v>3</v>
      </c>
      <c r="F26" s="22" t="str">
        <f t="shared" si="14"/>
        <v>CAMILO RODRIGUEZ PACHECO</v>
      </c>
      <c r="G26" s="38"/>
      <c r="H26" s="23" t="str">
        <f>D28</f>
        <v>MAURICIO LOZANO CASTILLERO</v>
      </c>
      <c r="I26" s="34"/>
      <c r="J26" s="22" t="str">
        <f>D27</f>
        <v>JOSE EMILIANO VAZQUEZ NUÑO</v>
      </c>
      <c r="K26" s="38"/>
      <c r="L26" s="23" t="str">
        <f>D28</f>
        <v>MAURICIO LOZANO CASTILLERO</v>
      </c>
      <c r="M26" s="28"/>
      <c r="N26" s="22" t="str">
        <f>D28</f>
        <v>MAURICIO LOZANO CASTILLERO</v>
      </c>
      <c r="O26" s="38"/>
      <c r="P26" s="23" t="str">
        <f t="shared" si="16"/>
        <v>JOSE EMILIANO VAZQUEZ NUÑO</v>
      </c>
      <c r="S26" s="7">
        <f t="shared" si="4"/>
        <v>23</v>
      </c>
      <c r="T26" s="7">
        <f>$C$35</f>
        <v>-10</v>
      </c>
      <c r="U26" s="32" t="str">
        <f>$D$35</f>
        <v>ALBERTO ROBLES ARMENTA</v>
      </c>
    </row>
    <row r="27" spans="2:21" ht="15.75" customHeight="1" x14ac:dyDescent="0.3">
      <c r="B27" s="53"/>
      <c r="C27" s="8">
        <f>(H27-F27)+(J27-L27)+(P27-N27)</f>
        <v>-1</v>
      </c>
      <c r="D27" s="9" t="str">
        <f t="array" ref="D27">IF('Jornada 1'!G$76=1,INDEX('Jornada 1'!D$36:D$39,MATCH(1,'Jornada 1'!E$36:E$39,0)),INDEX('Jornada 1'!D$36:D$39,MATCH(2,'Jornada 1'!E$36:E$39,0)))</f>
        <v>JOSE EMILIANO VAZQUEZ NUÑO</v>
      </c>
      <c r="E27" s="17">
        <f t="shared" si="13"/>
        <v>2</v>
      </c>
      <c r="F27" s="40">
        <v>0</v>
      </c>
      <c r="G27" s="38"/>
      <c r="H27" s="36">
        <v>4</v>
      </c>
      <c r="I27" s="34"/>
      <c r="J27" s="40">
        <v>1</v>
      </c>
      <c r="K27" s="38"/>
      <c r="L27" s="36">
        <v>4</v>
      </c>
      <c r="M27" s="28"/>
      <c r="N27" s="40">
        <v>4</v>
      </c>
      <c r="O27" s="38"/>
      <c r="P27" s="36">
        <v>2</v>
      </c>
      <c r="S27" s="7">
        <f t="shared" si="4"/>
        <v>24</v>
      </c>
      <c r="T27" s="7">
        <f>$C$42</f>
        <v>-11</v>
      </c>
      <c r="U27" s="32" t="str">
        <f>$D$42</f>
        <v>CHRISTIAN ULISES ACOSTA LOMELI</v>
      </c>
    </row>
    <row r="28" spans="2:21" ht="15.75" customHeight="1" thickBot="1" x14ac:dyDescent="0.35">
      <c r="B28" s="54"/>
      <c r="C28" s="8">
        <f>(H27-F27)+(L27-J27)+(N27-P27)</f>
        <v>9</v>
      </c>
      <c r="D28" s="6" t="s">
        <v>53</v>
      </c>
      <c r="E28" s="17">
        <f t="shared" si="13"/>
        <v>1</v>
      </c>
      <c r="F28" s="50"/>
      <c r="G28" s="49"/>
      <c r="H28" s="47"/>
      <c r="I28" s="34"/>
      <c r="J28" s="50"/>
      <c r="K28" s="49"/>
      <c r="L28" s="47"/>
      <c r="M28" s="28"/>
      <c r="N28" s="50"/>
      <c r="O28" s="49"/>
      <c r="P28" s="47"/>
    </row>
    <row r="29" spans="2:21" ht="15.75" customHeight="1" x14ac:dyDescent="0.3"/>
    <row r="30" spans="2:21" ht="15.75" customHeight="1" thickBot="1" x14ac:dyDescent="0.35"/>
    <row r="31" spans="2:21" ht="15.75" customHeight="1" thickBot="1" x14ac:dyDescent="0.35">
      <c r="B31" s="52" t="s">
        <v>50</v>
      </c>
      <c r="C31" s="2" t="s">
        <v>2</v>
      </c>
      <c r="D31" s="2" t="s">
        <v>3</v>
      </c>
      <c r="E31" s="2"/>
      <c r="F31" s="44" t="s">
        <v>4</v>
      </c>
      <c r="G31" s="45"/>
      <c r="H31" s="46"/>
      <c r="I31" s="33"/>
      <c r="J31" s="44" t="s">
        <v>5</v>
      </c>
      <c r="K31" s="45"/>
      <c r="L31" s="46"/>
      <c r="M31" s="2"/>
      <c r="N31" s="44" t="s">
        <v>6</v>
      </c>
      <c r="O31" s="45"/>
      <c r="P31" s="46"/>
    </row>
    <row r="32" spans="2:21" ht="15.75" customHeight="1" x14ac:dyDescent="0.3">
      <c r="B32" s="53"/>
      <c r="C32" s="5">
        <f>(F34-H34)+(J34-L34)+(N34-P34)</f>
        <v>4</v>
      </c>
      <c r="D32" s="6" t="str">
        <f t="array" ref="D32">IF('Jornada 1'!G$76=1,INDEX('Jornada 1'!D$20:D$23,MATCH(4,'Jornada 1'!E$20:E$23,0)),INDEX('Jornada 1'!D$20:D$23,MATCH(3,'Jornada 1'!E$20:E$23,0)))</f>
        <v>MAXIMILIANO HERNÁNDEZ OROZCO</v>
      </c>
      <c r="E32" s="17">
        <f t="shared" ref="E32:E35" si="17">COUNTIF(C$32:C$35,"&gt;"&amp;C32)+COUNTIF($C$32:C32,C32)</f>
        <v>1</v>
      </c>
      <c r="F32" s="20" t="str">
        <f t="shared" ref="F32:F33" si="18">D32</f>
        <v>MAXIMILIANO HERNÁNDEZ OROZCO</v>
      </c>
      <c r="G32" s="48" t="s">
        <v>9</v>
      </c>
      <c r="H32" s="21" t="str">
        <f t="shared" ref="H32:H33" si="19">D34</f>
        <v>ESTEFANO ROLANDO BECERRA HERNANDEZ</v>
      </c>
      <c r="I32" s="34"/>
      <c r="J32" s="20" t="str">
        <f>D32</f>
        <v>MAXIMILIANO HERNÁNDEZ OROZCO</v>
      </c>
      <c r="K32" s="48" t="s">
        <v>9</v>
      </c>
      <c r="L32" s="21" t="str">
        <f>D33</f>
        <v>JOSUÉ SANTIAGO PÉREZ MEDINA</v>
      </c>
      <c r="M32" s="27"/>
      <c r="N32" s="20" t="str">
        <f>D32</f>
        <v>MAXIMILIANO HERNÁNDEZ OROZCO</v>
      </c>
      <c r="O32" s="48" t="s">
        <v>9</v>
      </c>
      <c r="P32" s="21" t="str">
        <f t="shared" ref="P32:P33" si="20">D33</f>
        <v>JOSUÉ SANTIAGO PÉREZ MEDINA</v>
      </c>
    </row>
    <row r="33" spans="2:16" ht="15.75" customHeight="1" x14ac:dyDescent="0.3">
      <c r="B33" s="53"/>
      <c r="C33" s="8">
        <f>(F34-H34)+(L34-J34)+(P34-N34)</f>
        <v>2</v>
      </c>
      <c r="D33" s="6" t="str">
        <f t="array" ref="D33">IF('Jornada 1'!G$76=1,INDEX('Jornada 1'!D$28:D$31,MATCH(4,'Jornada 1'!E$28:E$31,0)),INDEX('Jornada 1'!D$28:D$31,MATCH(3,'Jornada 1'!E$28:E$31,0)))</f>
        <v>JOSUÉ SANTIAGO PÉREZ MEDINA</v>
      </c>
      <c r="E33" s="17">
        <f t="shared" si="17"/>
        <v>3</v>
      </c>
      <c r="F33" s="22" t="str">
        <f t="shared" si="18"/>
        <v>JOSUÉ SANTIAGO PÉREZ MEDINA</v>
      </c>
      <c r="G33" s="38"/>
      <c r="H33" s="23" t="str">
        <f t="shared" si="19"/>
        <v>ALBERTO ROBLES ARMENTA</v>
      </c>
      <c r="I33" s="34"/>
      <c r="J33" s="22" t="str">
        <f>D34</f>
        <v>ESTEFANO ROLANDO BECERRA HERNANDEZ</v>
      </c>
      <c r="K33" s="38"/>
      <c r="L33" s="23" t="str">
        <f>D35</f>
        <v>ALBERTO ROBLES ARMENTA</v>
      </c>
      <c r="M33" s="28"/>
      <c r="N33" s="22" t="str">
        <f>D35</f>
        <v>ALBERTO ROBLES ARMENTA</v>
      </c>
      <c r="O33" s="38"/>
      <c r="P33" s="23" t="str">
        <f t="shared" si="20"/>
        <v>ESTEFANO ROLANDO BECERRA HERNANDEZ</v>
      </c>
    </row>
    <row r="34" spans="2:16" ht="15.75" customHeight="1" x14ac:dyDescent="0.3">
      <c r="B34" s="53"/>
      <c r="C34" s="8">
        <f>(H34-F34)+(J34-L34)+(P34-N34)</f>
        <v>4</v>
      </c>
      <c r="D34" s="9" t="str">
        <f t="array" ref="D34">IF('Jornada 1'!G$76=1,INDEX('Jornada 1'!D$36:D$39,MATCH(2,'Jornada 1'!E$36:E$39,0)),INDEX('Jornada 1'!D$28:D$31,MATCH(4,'Jornada 1'!E$28:E$31,0)))</f>
        <v>ESTEFANO ROLANDO BECERRA HERNANDEZ</v>
      </c>
      <c r="E34" s="17">
        <f t="shared" si="17"/>
        <v>2</v>
      </c>
      <c r="F34" s="40">
        <v>4</v>
      </c>
      <c r="G34" s="38"/>
      <c r="H34" s="36">
        <v>1</v>
      </c>
      <c r="I34" s="34"/>
      <c r="J34" s="40">
        <v>4</v>
      </c>
      <c r="K34" s="38"/>
      <c r="L34" s="36">
        <v>0</v>
      </c>
      <c r="M34" s="28"/>
      <c r="N34" s="40">
        <v>1</v>
      </c>
      <c r="O34" s="38"/>
      <c r="P34" s="36">
        <v>4</v>
      </c>
    </row>
    <row r="35" spans="2:16" ht="15.75" customHeight="1" thickBot="1" x14ac:dyDescent="0.35">
      <c r="B35" s="54"/>
      <c r="C35" s="8">
        <f>(H34-F34)+(L34-J34)+(N34-P34)</f>
        <v>-10</v>
      </c>
      <c r="D35" s="9" t="str">
        <f t="array" ref="D35">IF('Jornada 1'!G$76=1,INDEX('Jornada 1'!D$36:D$39,MATCH(3,'Jornada 1'!E$36:E$39,0)),INDEX('Jornada 1'!D$44:D$47,MATCH(1,'Jornada 1'!E$44:E$47,0)))</f>
        <v>ALBERTO ROBLES ARMENTA</v>
      </c>
      <c r="E35" s="17">
        <f t="shared" si="17"/>
        <v>4</v>
      </c>
      <c r="F35" s="50"/>
      <c r="G35" s="49"/>
      <c r="H35" s="47"/>
      <c r="I35" s="34"/>
      <c r="J35" s="50"/>
      <c r="K35" s="49"/>
      <c r="L35" s="47"/>
      <c r="M35" s="28"/>
      <c r="N35" s="50"/>
      <c r="O35" s="49"/>
      <c r="P35" s="47"/>
    </row>
    <row r="36" spans="2:16" ht="15.75" customHeight="1" x14ac:dyDescent="0.3"/>
    <row r="37" spans="2:16" ht="15.75" customHeight="1" thickBot="1" x14ac:dyDescent="0.35"/>
    <row r="38" spans="2:16" ht="15.75" customHeight="1" thickBot="1" x14ac:dyDescent="0.35">
      <c r="B38" s="52" t="s">
        <v>51</v>
      </c>
      <c r="C38" s="2" t="s">
        <v>2</v>
      </c>
      <c r="D38" s="2" t="s">
        <v>3</v>
      </c>
      <c r="E38" s="2"/>
      <c r="F38" s="44" t="s">
        <v>4</v>
      </c>
      <c r="G38" s="45"/>
      <c r="H38" s="46"/>
      <c r="I38" s="33"/>
      <c r="J38" s="44" t="s">
        <v>5</v>
      </c>
      <c r="K38" s="45"/>
      <c r="L38" s="46"/>
      <c r="M38" s="2"/>
      <c r="N38" s="44" t="s">
        <v>6</v>
      </c>
      <c r="O38" s="45"/>
      <c r="P38" s="46"/>
    </row>
    <row r="39" spans="2:16" ht="15.75" customHeight="1" x14ac:dyDescent="0.3">
      <c r="B39" s="53"/>
      <c r="C39" s="5">
        <f>(F41-H41)+(J41-L41)+(N41-P41)</f>
        <v>3</v>
      </c>
      <c r="D39" s="6" t="str">
        <f t="array" ref="D39">IF('Jornada 1'!G$76=1,INDEX('Jornada 1'!D$36:D$39,MATCH(4,'Jornada 1'!E$36:E$39,0)),INDEX('Jornada 1'!D$36:D$39,MATCH(3,'Jornada 1'!E$36:E$39,0)))</f>
        <v>LUCAS CONTRERAS PADRÓN</v>
      </c>
      <c r="E39" s="6">
        <f t="shared" ref="E39:E42" si="21">COUNTIF(C$39:C$42,"&gt;"&amp;C39)+COUNTIF($C$39:C39,C39)</f>
        <v>2</v>
      </c>
      <c r="F39" s="6" t="str">
        <f t="shared" ref="F39:F40" si="22">D39</f>
        <v>LUCAS CONTRERAS PADRÓN</v>
      </c>
      <c r="G39" s="48" t="s">
        <v>9</v>
      </c>
      <c r="H39" s="6" t="str">
        <f>D41</f>
        <v>ADRIANA ESPINOZA SALDAÑA</v>
      </c>
      <c r="I39" s="34"/>
      <c r="J39" s="6" t="str">
        <f>D39</f>
        <v>LUCAS CONTRERAS PADRÓN</v>
      </c>
      <c r="K39" s="48" t="s">
        <v>9</v>
      </c>
      <c r="L39" s="6" t="str">
        <f>D40</f>
        <v>LEO LUCERO KOLB</v>
      </c>
      <c r="M39" s="6"/>
      <c r="N39" s="6" t="str">
        <f>D39</f>
        <v>LUCAS CONTRERAS PADRÓN</v>
      </c>
      <c r="O39" s="48" t="s">
        <v>9</v>
      </c>
      <c r="P39" s="6" t="str">
        <f t="shared" ref="P39" si="23">D40</f>
        <v>LEO LUCERO KOLB</v>
      </c>
    </row>
    <row r="40" spans="2:16" ht="15.75" customHeight="1" x14ac:dyDescent="0.3">
      <c r="B40" s="53"/>
      <c r="C40" s="8">
        <f>(F41-H41)+(L41-J41)+(P41-N41)</f>
        <v>5</v>
      </c>
      <c r="D40" s="9" t="str">
        <f t="array" ref="D40">IF('Jornada 1'!G$76=1,INDEX('Jornada 1'!D$44:D$47,MATCH(1,'Jornada 1'!E$44:E$47,0)),INDEX('Jornada 1'!D$44:D$47,MATCH(2,'Jornada 1'!E$44:E$47,0)))</f>
        <v>LEO LUCERO KOLB</v>
      </c>
      <c r="E40" s="6">
        <f t="shared" si="21"/>
        <v>1</v>
      </c>
      <c r="F40" s="9" t="str">
        <f t="shared" si="22"/>
        <v>LEO LUCERO KOLB</v>
      </c>
      <c r="G40" s="38"/>
      <c r="H40" s="9" t="str">
        <f t="shared" ref="H40" si="24">D42</f>
        <v>CHRISTIAN ULISES ACOSTA LOMELI</v>
      </c>
      <c r="I40" s="34"/>
      <c r="J40" s="9" t="str">
        <f>D41</f>
        <v>ADRIANA ESPINOZA SALDAÑA</v>
      </c>
      <c r="K40" s="38"/>
      <c r="L40" s="9" t="str">
        <f>D42</f>
        <v>CHRISTIAN ULISES ACOSTA LOMELI</v>
      </c>
      <c r="M40" s="9"/>
      <c r="N40" s="9" t="str">
        <f>D42</f>
        <v>CHRISTIAN ULISES ACOSTA LOMELI</v>
      </c>
      <c r="O40" s="38"/>
      <c r="P40" s="9" t="str">
        <f>D41</f>
        <v>ADRIANA ESPINOZA SALDAÑA</v>
      </c>
    </row>
    <row r="41" spans="2:16" ht="15.75" customHeight="1" x14ac:dyDescent="0.3">
      <c r="B41" s="53"/>
      <c r="C41" s="8">
        <f>(H41-F41)+(J41-L41)+(P41-N41)</f>
        <v>3</v>
      </c>
      <c r="D41" s="9" t="str">
        <f t="array" ref="D41">IF('Jornada 1'!G$76=1,INDEX('Jornada 1'!D$44:D$47,MATCH(2,'Jornada 1'!E$44:E$47,0)),INDEX('Jornada 1'!D$36:D$39,MATCH(4,'Jornada 1'!E$36:E$39,0)))</f>
        <v>ADRIANA ESPINOZA SALDAÑA</v>
      </c>
      <c r="E41" s="6">
        <f t="shared" si="21"/>
        <v>3</v>
      </c>
      <c r="F41" s="42">
        <v>4</v>
      </c>
      <c r="G41" s="38"/>
      <c r="H41" s="42">
        <v>0</v>
      </c>
      <c r="I41" s="34"/>
      <c r="J41" s="42">
        <v>4</v>
      </c>
      <c r="K41" s="38"/>
      <c r="L41" s="42">
        <v>1</v>
      </c>
      <c r="M41" s="9"/>
      <c r="N41" s="42">
        <v>0</v>
      </c>
      <c r="O41" s="38"/>
      <c r="P41" s="42">
        <v>4</v>
      </c>
    </row>
    <row r="42" spans="2:16" ht="15.75" customHeight="1" x14ac:dyDescent="0.3">
      <c r="B42" s="54"/>
      <c r="C42" s="8">
        <f>(H41-F41)+(L41-J41)+(N41-P41)</f>
        <v>-11</v>
      </c>
      <c r="D42" s="9" t="str">
        <f t="array" ref="D42">INDEX('Jornada 1'!D$40:D$47,MATCH(4,'Jornada 1'!E$40:E$47,0))</f>
        <v>CHRISTIAN ULISES ACOSTA LOMELI</v>
      </c>
      <c r="E42" s="6">
        <f t="shared" si="21"/>
        <v>4</v>
      </c>
      <c r="F42" s="39"/>
      <c r="G42" s="51"/>
      <c r="H42" s="39"/>
      <c r="I42" s="34"/>
      <c r="J42" s="39"/>
      <c r="K42" s="51"/>
      <c r="L42" s="39"/>
      <c r="M42" s="9"/>
      <c r="N42" s="39"/>
      <c r="O42" s="51"/>
      <c r="P42" s="39"/>
    </row>
    <row r="43" spans="2:16" ht="15.75" customHeight="1" x14ac:dyDescent="0.3"/>
    <row r="44" spans="2:16" ht="15.75" hidden="1" customHeight="1" x14ac:dyDescent="0.3"/>
    <row r="45" spans="2:16" ht="15.75" hidden="1" customHeight="1" x14ac:dyDescent="0.3">
      <c r="B45" s="42" t="s">
        <v>15</v>
      </c>
      <c r="C45" s="2" t="s">
        <v>2</v>
      </c>
      <c r="D45" s="2" t="s">
        <v>3</v>
      </c>
      <c r="E45" s="2"/>
      <c r="F45" s="2" t="s">
        <v>4</v>
      </c>
      <c r="G45" s="2"/>
      <c r="H45" s="2"/>
      <c r="I45" s="2"/>
      <c r="J45" s="2" t="s">
        <v>5</v>
      </c>
      <c r="K45" s="2"/>
      <c r="L45" s="2"/>
      <c r="M45" s="2"/>
      <c r="N45" s="2" t="s">
        <v>6</v>
      </c>
      <c r="O45" s="2"/>
      <c r="P45" s="3"/>
    </row>
    <row r="46" spans="2:16" ht="15.75" hidden="1" customHeight="1" x14ac:dyDescent="0.3">
      <c r="B46" s="43"/>
      <c r="C46" s="5">
        <f>(F48-H48)+(J48-L48)+(N48-P48)</f>
        <v>0</v>
      </c>
      <c r="D46" s="6" t="s">
        <v>16</v>
      </c>
      <c r="E46" s="6"/>
      <c r="F46" s="6" t="str">
        <f t="shared" ref="F46:F47" si="25">D46</f>
        <v>Jugador 1</v>
      </c>
      <c r="G46" s="38" t="s">
        <v>9</v>
      </c>
      <c r="H46" s="6" t="str">
        <f t="shared" ref="H46:H47" si="26">D48</f>
        <v>Jugador 3</v>
      </c>
      <c r="I46" s="6"/>
      <c r="J46" s="6" t="str">
        <f>D46</f>
        <v>Jugador 1</v>
      </c>
      <c r="K46" s="38" t="s">
        <v>9</v>
      </c>
      <c r="L46" s="6" t="str">
        <f>D47</f>
        <v>Jugador 2</v>
      </c>
      <c r="M46" s="6"/>
      <c r="N46" s="6" t="str">
        <f>D46</f>
        <v>Jugador 1</v>
      </c>
      <c r="O46" s="38" t="s">
        <v>9</v>
      </c>
      <c r="P46" s="6" t="str">
        <f t="shared" ref="P46:P47" si="27">D47</f>
        <v>Jugador 2</v>
      </c>
    </row>
    <row r="47" spans="2:16" ht="15.75" hidden="1" customHeight="1" x14ac:dyDescent="0.3">
      <c r="B47" s="43"/>
      <c r="C47" s="8">
        <f>(F48-H48)+(L48-J48)+(P48-N48)</f>
        <v>0</v>
      </c>
      <c r="D47" s="9" t="s">
        <v>17</v>
      </c>
      <c r="E47" s="9"/>
      <c r="F47" s="9" t="str">
        <f t="shared" si="25"/>
        <v>Jugador 2</v>
      </c>
      <c r="G47" s="39"/>
      <c r="H47" s="9" t="str">
        <f t="shared" si="26"/>
        <v>Jugador 4</v>
      </c>
      <c r="I47" s="9"/>
      <c r="J47" s="9" t="str">
        <f>D48</f>
        <v>Jugador 3</v>
      </c>
      <c r="K47" s="39"/>
      <c r="L47" s="9" t="str">
        <f>D49</f>
        <v>Jugador 4</v>
      </c>
      <c r="M47" s="9"/>
      <c r="N47" s="9" t="str">
        <f>D49</f>
        <v>Jugador 4</v>
      </c>
      <c r="O47" s="39"/>
      <c r="P47" s="9" t="str">
        <f t="shared" si="27"/>
        <v>Jugador 3</v>
      </c>
    </row>
    <row r="48" spans="2:16" ht="15.75" hidden="1" customHeight="1" x14ac:dyDescent="0.3">
      <c r="B48" s="43"/>
      <c r="C48" s="8">
        <f>(H48-F48)+(J48-L48)+(P48-N48)</f>
        <v>0</v>
      </c>
      <c r="D48" s="9" t="s">
        <v>18</v>
      </c>
      <c r="E48" s="9"/>
      <c r="F48" s="42"/>
      <c r="G48" s="9"/>
      <c r="H48" s="42"/>
      <c r="I48" s="9"/>
      <c r="J48" s="42"/>
      <c r="K48" s="9"/>
      <c r="L48" s="42"/>
      <c r="M48" s="9"/>
      <c r="N48" s="42"/>
      <c r="O48" s="9"/>
      <c r="P48" s="42"/>
    </row>
    <row r="49" spans="2:16" ht="15.75" hidden="1" customHeight="1" x14ac:dyDescent="0.3">
      <c r="B49" s="43"/>
      <c r="C49" s="8">
        <f>(H48-F48)+(L48-J48)+(N48-P48)</f>
        <v>0</v>
      </c>
      <c r="D49" s="9" t="s">
        <v>19</v>
      </c>
      <c r="E49" s="9"/>
      <c r="F49" s="39"/>
      <c r="G49" s="9"/>
      <c r="H49" s="39"/>
      <c r="I49" s="9"/>
      <c r="J49" s="39"/>
      <c r="K49" s="9"/>
      <c r="L49" s="39"/>
      <c r="M49" s="9"/>
      <c r="N49" s="39"/>
      <c r="O49" s="9"/>
      <c r="P49" s="39"/>
    </row>
    <row r="50" spans="2:16" ht="15.75" hidden="1" customHeight="1" x14ac:dyDescent="0.3">
      <c r="B50" s="39"/>
      <c r="C50" s="1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5.75" hidden="1" customHeight="1" x14ac:dyDescent="0.3"/>
    <row r="52" spans="2:16" ht="15.75" hidden="1" customHeight="1" x14ac:dyDescent="0.3"/>
    <row r="53" spans="2:16" ht="15.75" hidden="1" customHeight="1" x14ac:dyDescent="0.3">
      <c r="B53" s="42" t="s">
        <v>20</v>
      </c>
      <c r="C53" s="2" t="s">
        <v>2</v>
      </c>
      <c r="D53" s="2" t="s">
        <v>3</v>
      </c>
      <c r="E53" s="2"/>
      <c r="F53" s="2" t="s">
        <v>4</v>
      </c>
      <c r="G53" s="2"/>
      <c r="H53" s="2"/>
      <c r="I53" s="2"/>
      <c r="J53" s="2" t="s">
        <v>5</v>
      </c>
      <c r="K53" s="2"/>
      <c r="L53" s="2"/>
      <c r="M53" s="2"/>
      <c r="N53" s="2" t="s">
        <v>6</v>
      </c>
      <c r="O53" s="2"/>
      <c r="P53" s="3"/>
    </row>
    <row r="54" spans="2:16" ht="15.75" hidden="1" customHeight="1" x14ac:dyDescent="0.3">
      <c r="B54" s="43"/>
      <c r="C54" s="5">
        <f>(F56-H56)+(J56-L56)+(N56-P56)</f>
        <v>0</v>
      </c>
      <c r="D54" s="6" t="s">
        <v>16</v>
      </c>
      <c r="E54" s="6"/>
      <c r="F54" s="6" t="str">
        <f t="shared" ref="F54:F55" si="28">D54</f>
        <v>Jugador 1</v>
      </c>
      <c r="G54" s="38" t="s">
        <v>9</v>
      </c>
      <c r="H54" s="6" t="str">
        <f t="shared" ref="H54:H55" si="29">D56</f>
        <v>Jugador 3</v>
      </c>
      <c r="I54" s="6"/>
      <c r="J54" s="6" t="str">
        <f>D54</f>
        <v>Jugador 1</v>
      </c>
      <c r="K54" s="38" t="s">
        <v>9</v>
      </c>
      <c r="L54" s="6" t="str">
        <f>D55</f>
        <v>Jugador 2</v>
      </c>
      <c r="M54" s="6"/>
      <c r="N54" s="6" t="str">
        <f>D54</f>
        <v>Jugador 1</v>
      </c>
      <c r="O54" s="38" t="s">
        <v>9</v>
      </c>
      <c r="P54" s="6" t="str">
        <f t="shared" ref="P54:P55" si="30">D55</f>
        <v>Jugador 2</v>
      </c>
    </row>
    <row r="55" spans="2:16" ht="15.75" hidden="1" customHeight="1" x14ac:dyDescent="0.3">
      <c r="B55" s="43"/>
      <c r="C55" s="8">
        <f>(F56-H56)+(L56-J56)+(P56-N56)</f>
        <v>0</v>
      </c>
      <c r="D55" s="9" t="s">
        <v>17</v>
      </c>
      <c r="E55" s="9"/>
      <c r="F55" s="9" t="str">
        <f t="shared" si="28"/>
        <v>Jugador 2</v>
      </c>
      <c r="G55" s="39"/>
      <c r="H55" s="9" t="str">
        <f t="shared" si="29"/>
        <v>Jugador 4</v>
      </c>
      <c r="I55" s="9"/>
      <c r="J55" s="9" t="str">
        <f>D56</f>
        <v>Jugador 3</v>
      </c>
      <c r="K55" s="39"/>
      <c r="L55" s="9" t="str">
        <f>D57</f>
        <v>Jugador 4</v>
      </c>
      <c r="M55" s="9"/>
      <c r="N55" s="9" t="str">
        <f>D57</f>
        <v>Jugador 4</v>
      </c>
      <c r="O55" s="39"/>
      <c r="P55" s="9" t="str">
        <f t="shared" si="30"/>
        <v>Jugador 3</v>
      </c>
    </row>
    <row r="56" spans="2:16" ht="15.75" hidden="1" customHeight="1" x14ac:dyDescent="0.3">
      <c r="B56" s="43"/>
      <c r="C56" s="8">
        <f>(H56-F56)+(J56-L56)+(P56-N56)</f>
        <v>0</v>
      </c>
      <c r="D56" s="9" t="s">
        <v>18</v>
      </c>
      <c r="E56" s="9"/>
      <c r="F56" s="42"/>
      <c r="G56" s="9"/>
      <c r="H56" s="42"/>
      <c r="I56" s="9"/>
      <c r="J56" s="42"/>
      <c r="K56" s="9"/>
      <c r="L56" s="42"/>
      <c r="M56" s="9"/>
      <c r="N56" s="42"/>
      <c r="O56" s="9"/>
      <c r="P56" s="42"/>
    </row>
    <row r="57" spans="2:16" ht="15.75" hidden="1" customHeight="1" x14ac:dyDescent="0.3">
      <c r="B57" s="43"/>
      <c r="C57" s="8">
        <f>(H56-F56)+(L56-J56)+(N56-P56)</f>
        <v>0</v>
      </c>
      <c r="D57" s="9" t="s">
        <v>19</v>
      </c>
      <c r="E57" s="9"/>
      <c r="F57" s="39"/>
      <c r="G57" s="9"/>
      <c r="H57" s="39"/>
      <c r="I57" s="9"/>
      <c r="J57" s="39"/>
      <c r="K57" s="9"/>
      <c r="L57" s="39"/>
      <c r="M57" s="9"/>
      <c r="N57" s="39"/>
      <c r="O57" s="9"/>
      <c r="P57" s="39"/>
    </row>
    <row r="58" spans="2:16" ht="15.75" hidden="1" customHeight="1" x14ac:dyDescent="0.3">
      <c r="B58" s="39"/>
      <c r="C58" s="1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5.75" hidden="1" customHeight="1" x14ac:dyDescent="0.3"/>
    <row r="60" spans="2:16" ht="15.75" hidden="1" customHeight="1" x14ac:dyDescent="0.3"/>
    <row r="61" spans="2:16" ht="15.75" hidden="1" customHeight="1" x14ac:dyDescent="0.3">
      <c r="B61" s="42" t="s">
        <v>21</v>
      </c>
      <c r="C61" s="2" t="s">
        <v>2</v>
      </c>
      <c r="D61" s="2" t="s">
        <v>3</v>
      </c>
      <c r="E61" s="2"/>
      <c r="F61" s="2" t="s">
        <v>4</v>
      </c>
      <c r="G61" s="2"/>
      <c r="H61" s="2"/>
      <c r="I61" s="2"/>
      <c r="J61" s="2" t="s">
        <v>5</v>
      </c>
      <c r="K61" s="2"/>
      <c r="L61" s="2"/>
      <c r="M61" s="2"/>
      <c r="N61" s="2" t="s">
        <v>6</v>
      </c>
      <c r="O61" s="2"/>
      <c r="P61" s="3"/>
    </row>
    <row r="62" spans="2:16" ht="15.75" hidden="1" customHeight="1" x14ac:dyDescent="0.3">
      <c r="B62" s="43"/>
      <c r="C62" s="5">
        <f>(F64-H64)+(J64-L64)+(N64-P64)</f>
        <v>0</v>
      </c>
      <c r="D62" s="6" t="s">
        <v>16</v>
      </c>
      <c r="E62" s="6"/>
      <c r="F62" s="6" t="str">
        <f t="shared" ref="F62:F63" si="31">D62</f>
        <v>Jugador 1</v>
      </c>
      <c r="G62" s="38" t="s">
        <v>9</v>
      </c>
      <c r="H62" s="6" t="str">
        <f t="shared" ref="H62:H63" si="32">D64</f>
        <v>Jugador 3</v>
      </c>
      <c r="I62" s="6"/>
      <c r="J62" s="6" t="str">
        <f>D62</f>
        <v>Jugador 1</v>
      </c>
      <c r="K62" s="38" t="s">
        <v>9</v>
      </c>
      <c r="L62" s="6" t="str">
        <f>D63</f>
        <v>Jugador 2</v>
      </c>
      <c r="M62" s="6"/>
      <c r="N62" s="6" t="str">
        <f>D62</f>
        <v>Jugador 1</v>
      </c>
      <c r="O62" s="38" t="s">
        <v>9</v>
      </c>
      <c r="P62" s="6" t="str">
        <f t="shared" ref="P62:P63" si="33">D63</f>
        <v>Jugador 2</v>
      </c>
    </row>
    <row r="63" spans="2:16" ht="15.75" hidden="1" customHeight="1" x14ac:dyDescent="0.3">
      <c r="B63" s="43"/>
      <c r="C63" s="8">
        <f>(F64-H64)+(L64-J64)+(P64-N64)</f>
        <v>0</v>
      </c>
      <c r="D63" s="9" t="s">
        <v>17</v>
      </c>
      <c r="E63" s="9"/>
      <c r="F63" s="9" t="str">
        <f t="shared" si="31"/>
        <v>Jugador 2</v>
      </c>
      <c r="G63" s="39"/>
      <c r="H63" s="9" t="str">
        <f t="shared" si="32"/>
        <v>Jugador 4</v>
      </c>
      <c r="I63" s="9"/>
      <c r="J63" s="9" t="str">
        <f>D64</f>
        <v>Jugador 3</v>
      </c>
      <c r="K63" s="39"/>
      <c r="L63" s="9" t="str">
        <f>D65</f>
        <v>Jugador 4</v>
      </c>
      <c r="M63" s="9"/>
      <c r="N63" s="9" t="str">
        <f>D65</f>
        <v>Jugador 4</v>
      </c>
      <c r="O63" s="39"/>
      <c r="P63" s="9" t="str">
        <f t="shared" si="33"/>
        <v>Jugador 3</v>
      </c>
    </row>
    <row r="64" spans="2:16" ht="15.75" hidden="1" customHeight="1" x14ac:dyDescent="0.3">
      <c r="B64" s="43"/>
      <c r="C64" s="8">
        <f>(H64-F64)+(J64-L64)+(P64-N64)</f>
        <v>0</v>
      </c>
      <c r="D64" s="9" t="s">
        <v>18</v>
      </c>
      <c r="E64" s="9"/>
      <c r="F64" s="42"/>
      <c r="G64" s="9"/>
      <c r="H64" s="42"/>
      <c r="I64" s="9"/>
      <c r="J64" s="42"/>
      <c r="K64" s="9"/>
      <c r="L64" s="42"/>
      <c r="M64" s="9"/>
      <c r="N64" s="42"/>
      <c r="O64" s="9"/>
      <c r="P64" s="42"/>
    </row>
    <row r="65" spans="2:16" ht="15.75" hidden="1" customHeight="1" x14ac:dyDescent="0.3">
      <c r="B65" s="43"/>
      <c r="C65" s="8">
        <f>(H64-F64)+(L64-J64)+(N64-P64)</f>
        <v>0</v>
      </c>
      <c r="D65" s="9" t="s">
        <v>19</v>
      </c>
      <c r="E65" s="9"/>
      <c r="F65" s="39"/>
      <c r="G65" s="9"/>
      <c r="H65" s="39"/>
      <c r="I65" s="9"/>
      <c r="J65" s="39"/>
      <c r="K65" s="9"/>
      <c r="L65" s="39"/>
      <c r="M65" s="9"/>
      <c r="N65" s="39"/>
      <c r="O65" s="9"/>
      <c r="P65" s="39"/>
    </row>
    <row r="66" spans="2:16" ht="15.75" hidden="1" customHeight="1" x14ac:dyDescent="0.3">
      <c r="B66" s="39"/>
      <c r="C66" s="1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5.75" hidden="1" customHeight="1" x14ac:dyDescent="0.3"/>
    <row r="68" spans="2:16" ht="15.75" hidden="1" customHeight="1" x14ac:dyDescent="0.3"/>
    <row r="69" spans="2:16" ht="15.75" hidden="1" customHeight="1" x14ac:dyDescent="0.3"/>
    <row r="70" spans="2:16" ht="15.75" customHeight="1" x14ac:dyDescent="0.3">
      <c r="F70" s="1" t="s">
        <v>22</v>
      </c>
      <c r="G70" s="1">
        <v>2</v>
      </c>
    </row>
    <row r="71" spans="2:16" ht="15.75" customHeight="1" x14ac:dyDescent="0.3"/>
    <row r="72" spans="2:16" ht="15.75" customHeight="1" x14ac:dyDescent="0.3"/>
    <row r="73" spans="2:16" ht="15.75" customHeight="1" x14ac:dyDescent="0.3"/>
    <row r="74" spans="2:16" ht="15.75" customHeight="1" x14ac:dyDescent="0.3"/>
    <row r="75" spans="2:16" ht="15.75" customHeight="1" x14ac:dyDescent="0.3"/>
    <row r="76" spans="2:16" ht="15.75" customHeight="1" x14ac:dyDescent="0.3"/>
    <row r="77" spans="2:16" ht="15.75" customHeight="1" x14ac:dyDescent="0.3"/>
    <row r="78" spans="2:16" ht="15.75" customHeight="1" x14ac:dyDescent="0.3"/>
    <row r="79" spans="2:16" ht="15.75" customHeight="1" x14ac:dyDescent="0.3"/>
    <row r="80" spans="2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sortState xmlns:xlrd2="http://schemas.microsoft.com/office/spreadsheetml/2017/richdata2" ref="S4:U27">
    <sortCondition ref="S3:S27"/>
  </sortState>
  <mergeCells count="109">
    <mergeCell ref="B17:B21"/>
    <mergeCell ref="J13:J14"/>
    <mergeCell ref="F13:F14"/>
    <mergeCell ref="F20:F21"/>
    <mergeCell ref="H20:H21"/>
    <mergeCell ref="J20:J21"/>
    <mergeCell ref="J17:L17"/>
    <mergeCell ref="N20:N21"/>
    <mergeCell ref="P20:P21"/>
    <mergeCell ref="O18:O21"/>
    <mergeCell ref="G18:G21"/>
    <mergeCell ref="K18:K21"/>
    <mergeCell ref="S2:U2"/>
    <mergeCell ref="B3:B7"/>
    <mergeCell ref="F6:F7"/>
    <mergeCell ref="H6:H7"/>
    <mergeCell ref="O4:O7"/>
    <mergeCell ref="F3:H3"/>
    <mergeCell ref="J3:L3"/>
    <mergeCell ref="N3:P3"/>
    <mergeCell ref="L13:L14"/>
    <mergeCell ref="N13:N14"/>
    <mergeCell ref="P13:P14"/>
    <mergeCell ref="J6:J7"/>
    <mergeCell ref="L6:L7"/>
    <mergeCell ref="N6:N7"/>
    <mergeCell ref="P6:P7"/>
    <mergeCell ref="O11:O14"/>
    <mergeCell ref="N10:P10"/>
    <mergeCell ref="B10:B14"/>
    <mergeCell ref="H13:H14"/>
    <mergeCell ref="G4:G7"/>
    <mergeCell ref="K4:K7"/>
    <mergeCell ref="G11:G14"/>
    <mergeCell ref="K11:K14"/>
    <mergeCell ref="F10:H10"/>
    <mergeCell ref="L64:L65"/>
    <mergeCell ref="N64:N65"/>
    <mergeCell ref="J41:J42"/>
    <mergeCell ref="L41:L42"/>
    <mergeCell ref="N41:N42"/>
    <mergeCell ref="K39:K42"/>
    <mergeCell ref="P64:P65"/>
    <mergeCell ref="F48:F49"/>
    <mergeCell ref="H48:H49"/>
    <mergeCell ref="J48:J49"/>
    <mergeCell ref="L48:L49"/>
    <mergeCell ref="N48:N49"/>
    <mergeCell ref="P48:P49"/>
    <mergeCell ref="O54:O55"/>
    <mergeCell ref="K54:K55"/>
    <mergeCell ref="J56:J57"/>
    <mergeCell ref="L56:L57"/>
    <mergeCell ref="N56:N57"/>
    <mergeCell ref="P56:P57"/>
    <mergeCell ref="K62:K63"/>
    <mergeCell ref="O62:O63"/>
    <mergeCell ref="J64:J65"/>
    <mergeCell ref="O39:O42"/>
    <mergeCell ref="P41:P42"/>
    <mergeCell ref="B24:B28"/>
    <mergeCell ref="F27:F28"/>
    <mergeCell ref="B31:B35"/>
    <mergeCell ref="F34:F35"/>
    <mergeCell ref="H34:H35"/>
    <mergeCell ref="J34:J35"/>
    <mergeCell ref="L34:L35"/>
    <mergeCell ref="H27:H28"/>
    <mergeCell ref="J27:J28"/>
    <mergeCell ref="K25:K28"/>
    <mergeCell ref="N34:N35"/>
    <mergeCell ref="P34:P35"/>
    <mergeCell ref="O32:O35"/>
    <mergeCell ref="J38:L38"/>
    <mergeCell ref="N38:P38"/>
    <mergeCell ref="B61:B66"/>
    <mergeCell ref="F64:F65"/>
    <mergeCell ref="H64:H65"/>
    <mergeCell ref="F41:F42"/>
    <mergeCell ref="F56:F57"/>
    <mergeCell ref="G54:G55"/>
    <mergeCell ref="G62:G63"/>
    <mergeCell ref="G39:G42"/>
    <mergeCell ref="B53:B58"/>
    <mergeCell ref="B38:B42"/>
    <mergeCell ref="B45:B50"/>
    <mergeCell ref="H41:H42"/>
    <mergeCell ref="H56:H57"/>
    <mergeCell ref="F38:H38"/>
    <mergeCell ref="G32:G35"/>
    <mergeCell ref="K32:K35"/>
    <mergeCell ref="G46:G47"/>
    <mergeCell ref="K46:K47"/>
    <mergeCell ref="O46:O47"/>
    <mergeCell ref="J10:L10"/>
    <mergeCell ref="F17:H17"/>
    <mergeCell ref="N17:P17"/>
    <mergeCell ref="F24:H24"/>
    <mergeCell ref="J24:L24"/>
    <mergeCell ref="N24:P24"/>
    <mergeCell ref="F31:H31"/>
    <mergeCell ref="J31:L31"/>
    <mergeCell ref="N31:P31"/>
    <mergeCell ref="L27:L28"/>
    <mergeCell ref="L20:L21"/>
    <mergeCell ref="P27:P28"/>
    <mergeCell ref="O25:O28"/>
    <mergeCell ref="G25:G28"/>
    <mergeCell ref="N27:N28"/>
  </mergeCells>
  <printOptions horizontalCentered="1" verticalCentered="1"/>
  <pageMargins left="0" right="0" top="0" bottom="0" header="0" footer="0"/>
  <pageSetup paperSize="5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0DDA-9884-4BE9-84D6-50BF28E6E8D0}">
  <sheetPr>
    <pageSetUpPr fitToPage="1"/>
  </sheetPr>
  <dimension ref="A1:U994"/>
  <sheetViews>
    <sheetView topLeftCell="N2" zoomScale="60" zoomScaleNormal="75" workbookViewId="0">
      <selection activeCell="T16" sqref="T16"/>
    </sheetView>
  </sheetViews>
  <sheetFormatPr baseColWidth="10" defaultColWidth="14.44140625" defaultRowHeight="15" customHeight="1" x14ac:dyDescent="0.3"/>
  <cols>
    <col min="1" max="3" width="10.6640625" customWidth="1"/>
    <col min="4" max="4" width="40.109375" bestFit="1" customWidth="1"/>
    <col min="5" max="5" width="5.88671875" customWidth="1"/>
    <col min="6" max="6" width="39.6640625" bestFit="1" customWidth="1"/>
    <col min="7" max="7" width="3.33203125" bestFit="1" customWidth="1"/>
    <col min="8" max="8" width="37.5546875" bestFit="1" customWidth="1"/>
    <col min="9" max="9" width="10.6640625" customWidth="1"/>
    <col min="10" max="10" width="36.33203125" bestFit="1" customWidth="1"/>
    <col min="11" max="11" width="3.33203125" bestFit="1" customWidth="1"/>
    <col min="12" max="12" width="40.109375" bestFit="1" customWidth="1"/>
    <col min="13" max="13" width="10.6640625" customWidth="1"/>
    <col min="14" max="14" width="37.6640625" bestFit="1" customWidth="1"/>
    <col min="15" max="15" width="3.33203125" bestFit="1" customWidth="1"/>
    <col min="16" max="16" width="39.6640625" bestFit="1" customWidth="1"/>
    <col min="17" max="17" width="2.6640625" customWidth="1"/>
    <col min="18" max="18" width="2" customWidth="1"/>
    <col min="19" max="19" width="9.5546875" customWidth="1"/>
    <col min="20" max="20" width="12.33203125" customWidth="1"/>
    <col min="21" max="21" width="33.5546875" customWidth="1"/>
    <col min="22" max="26" width="10.6640625" customWidth="1"/>
  </cols>
  <sheetData>
    <row r="1" spans="2:21" ht="38.25" customHeight="1" x14ac:dyDescent="0.3">
      <c r="F1" s="57" t="s">
        <v>54</v>
      </c>
      <c r="G1" s="57"/>
      <c r="H1" s="57"/>
    </row>
    <row r="2" spans="2:21" thickBot="1" x14ac:dyDescent="0.35">
      <c r="S2" s="55" t="s">
        <v>23</v>
      </c>
      <c r="T2" s="56"/>
      <c r="U2" s="56"/>
    </row>
    <row r="3" spans="2:21" thickBot="1" x14ac:dyDescent="0.35">
      <c r="B3" s="52" t="s">
        <v>46</v>
      </c>
      <c r="C3" s="2" t="s">
        <v>2</v>
      </c>
      <c r="D3" s="2" t="s">
        <v>3</v>
      </c>
      <c r="E3" s="2"/>
      <c r="F3" s="44" t="s">
        <v>4</v>
      </c>
      <c r="G3" s="45"/>
      <c r="H3" s="46"/>
      <c r="I3" s="33"/>
      <c r="J3" s="44" t="s">
        <v>5</v>
      </c>
      <c r="K3" s="45"/>
      <c r="L3" s="46"/>
      <c r="M3" s="2"/>
      <c r="N3" s="44" t="s">
        <v>6</v>
      </c>
      <c r="O3" s="45"/>
      <c r="P3" s="46"/>
      <c r="S3" s="1" t="s">
        <v>8</v>
      </c>
      <c r="T3" s="1" t="s">
        <v>2</v>
      </c>
      <c r="U3" s="1" t="s">
        <v>3</v>
      </c>
    </row>
    <row r="4" spans="2:21" ht="15.6" x14ac:dyDescent="0.3">
      <c r="B4" s="53"/>
      <c r="C4" s="5">
        <f>(F6-H6)+(J6-L6)+(N6-P6)</f>
        <v>11</v>
      </c>
      <c r="D4" s="6" t="str">
        <f t="array" ref="D4">INDEX('Jornada 1'!D$4:D$7, MATCH(1,'Jornada 1'!E$4:E$7,0))</f>
        <v>MAURICIO ALEJANDRO BAUTISTA</v>
      </c>
      <c r="E4" s="17">
        <f t="shared" ref="E4:E7" si="0">COUNTIF(C$4:C$7,"&gt;"&amp;C4)+COUNTIF($C$4:C4,C4)</f>
        <v>1</v>
      </c>
      <c r="F4" s="20" t="str">
        <f t="shared" ref="F4:F5" si="1">D4</f>
        <v>MAURICIO ALEJANDRO BAUTISTA</v>
      </c>
      <c r="G4" s="48" t="s">
        <v>9</v>
      </c>
      <c r="H4" s="21" t="str">
        <f t="shared" ref="H4:H5" si="2">D6</f>
        <v xml:space="preserve">NICOLAS MAXIMILIANO BRILL HERRERA </v>
      </c>
      <c r="I4" s="34"/>
      <c r="J4" s="20" t="str">
        <f>D4</f>
        <v>MAURICIO ALEJANDRO BAUTISTA</v>
      </c>
      <c r="K4" s="48" t="s">
        <v>9</v>
      </c>
      <c r="L4" s="21" t="str">
        <f>D5</f>
        <v>MARIANO GOMEZ VUILLEUMIER</v>
      </c>
      <c r="M4" s="27"/>
      <c r="N4" s="20" t="str">
        <f>D4</f>
        <v>MAURICIO ALEJANDRO BAUTISTA</v>
      </c>
      <c r="O4" s="48" t="s">
        <v>9</v>
      </c>
      <c r="P4" s="21" t="str">
        <f t="shared" ref="P4:P5" si="3">D5</f>
        <v>MARIANO GOMEZ VUILLEUMIER</v>
      </c>
      <c r="R4" s="7"/>
      <c r="S4" s="7">
        <f t="shared" ref="S4:S27" si="4">COUNTIF(T$4:T$27,"&gt;"&amp;T4)+1</f>
        <v>1</v>
      </c>
      <c r="T4" s="7">
        <f>$C$4</f>
        <v>11</v>
      </c>
      <c r="U4" s="32" t="str">
        <f>$D$4</f>
        <v>MAURICIO ALEJANDRO BAUTISTA</v>
      </c>
    </row>
    <row r="5" spans="2:21" ht="15.6" x14ac:dyDescent="0.3">
      <c r="B5" s="53"/>
      <c r="C5" s="8">
        <f>(F6-H6)+(L6-J6)+(P6-N6)</f>
        <v>-3</v>
      </c>
      <c r="D5" s="6" t="str">
        <f t="array" ref="D5">INDEX('Jornada 1'!D$4:D$7, MATCH(2,'Jornada 1'!E$4:E$7,0))</f>
        <v>MARIANO GOMEZ VUILLEUMIER</v>
      </c>
      <c r="E5" s="17">
        <f t="shared" si="0"/>
        <v>2</v>
      </c>
      <c r="F5" s="22" t="str">
        <f t="shared" si="1"/>
        <v>MARIANO GOMEZ VUILLEUMIER</v>
      </c>
      <c r="G5" s="38"/>
      <c r="H5" s="23" t="str">
        <f t="shared" si="2"/>
        <v>MARIANO NAVARRO LEAÑO</v>
      </c>
      <c r="I5" s="34"/>
      <c r="J5" s="22" t="str">
        <f>D6</f>
        <v xml:space="preserve">NICOLAS MAXIMILIANO BRILL HERRERA </v>
      </c>
      <c r="K5" s="38"/>
      <c r="L5" s="23" t="str">
        <f>D7</f>
        <v>MARIANO NAVARRO LEAÑO</v>
      </c>
      <c r="M5" s="28"/>
      <c r="N5" s="22" t="str">
        <f>D7</f>
        <v>MARIANO NAVARRO LEAÑO</v>
      </c>
      <c r="O5" s="38"/>
      <c r="P5" s="23" t="str">
        <f t="shared" si="3"/>
        <v xml:space="preserve">NICOLAS MAXIMILIANO BRILL HERRERA </v>
      </c>
      <c r="R5" s="7"/>
      <c r="S5" s="7">
        <f t="shared" si="4"/>
        <v>2</v>
      </c>
      <c r="T5" s="7">
        <f>$C$11</f>
        <v>9</v>
      </c>
      <c r="U5" s="32" t="str">
        <f>$D$11</f>
        <v>IAN DE LA BARQUERA</v>
      </c>
    </row>
    <row r="6" spans="2:21" ht="15.6" x14ac:dyDescent="0.3">
      <c r="B6" s="53"/>
      <c r="C6" s="8">
        <f>(H6-F6)+(J6-L6)+(P6-N6)</f>
        <v>-3</v>
      </c>
      <c r="D6" s="6" t="str">
        <f t="array" ref="D6">IF('Jornada 1'!G76=1,INDEX('Jornada 1'!D$4:D$7,MATCH(3,'Jornada 1'!E$4:E$7,0)),INDEX('Jornada 1'!D$12:D$15,MATCH(1,'Jornada 1'!E$12:E$15,0)))</f>
        <v xml:space="preserve">NICOLAS MAXIMILIANO BRILL HERRERA </v>
      </c>
      <c r="E6" s="17">
        <f t="shared" si="0"/>
        <v>3</v>
      </c>
      <c r="F6" s="40">
        <v>4</v>
      </c>
      <c r="G6" s="38"/>
      <c r="H6" s="36">
        <v>0</v>
      </c>
      <c r="I6" s="34"/>
      <c r="J6" s="40">
        <v>4</v>
      </c>
      <c r="K6" s="38"/>
      <c r="L6" s="36">
        <v>0</v>
      </c>
      <c r="M6" s="28"/>
      <c r="N6" s="40">
        <v>4</v>
      </c>
      <c r="O6" s="38"/>
      <c r="P6" s="36">
        <v>1</v>
      </c>
      <c r="R6" s="7"/>
      <c r="S6" s="7">
        <f t="shared" si="4"/>
        <v>2</v>
      </c>
      <c r="T6" s="7">
        <f>$C$28</f>
        <v>9</v>
      </c>
      <c r="U6" s="32" t="str">
        <f>$D$28</f>
        <v>MAURICIO LOZANO CASTILLERO</v>
      </c>
    </row>
    <row r="7" spans="2:21" ht="16.2" thickBot="1" x14ac:dyDescent="0.35">
      <c r="B7" s="53"/>
      <c r="C7" s="8">
        <f>(H6-F6)+(L6-J6)+(N6-P6)</f>
        <v>-5</v>
      </c>
      <c r="D7" s="6" t="str">
        <f t="array" ref="D7">IF('Jornada 1'!G76=1,INDEX('Jornada 1'!D$12:D$15,MATCH(1,'Jornada 1'!E$12:E$15,0)),INDEX('Jornada 1'!D$12:D$15,MATCH(2,'Jornada 1'!E$12:E$15,0)))</f>
        <v>MARIANO NAVARRO LEAÑO</v>
      </c>
      <c r="E7" s="17">
        <f t="shared" si="0"/>
        <v>4</v>
      </c>
      <c r="F7" s="50"/>
      <c r="G7" s="49"/>
      <c r="H7" s="47"/>
      <c r="I7" s="34"/>
      <c r="J7" s="50"/>
      <c r="K7" s="49"/>
      <c r="L7" s="47"/>
      <c r="M7" s="28"/>
      <c r="N7" s="50"/>
      <c r="O7" s="49"/>
      <c r="P7" s="47"/>
      <c r="R7" s="7"/>
      <c r="S7" s="7">
        <f t="shared" si="4"/>
        <v>4</v>
      </c>
      <c r="T7" s="7">
        <f>$C$18</f>
        <v>8</v>
      </c>
      <c r="U7" s="32" t="str">
        <f>$D$18</f>
        <v xml:space="preserve">IKER FRANCISCO NORIEGA JIMENEZ </v>
      </c>
    </row>
    <row r="8" spans="2:21" ht="15.6" x14ac:dyDescent="0.3">
      <c r="B8" s="35"/>
      <c r="R8" s="7"/>
      <c r="S8" s="7">
        <f t="shared" si="4"/>
        <v>5</v>
      </c>
      <c r="T8" s="7">
        <f>$C$40</f>
        <v>5</v>
      </c>
      <c r="U8" s="32" t="str">
        <f>$D$40</f>
        <v>LEO LUCERO KOLB</v>
      </c>
    </row>
    <row r="9" spans="2:21" ht="16.2" thickBot="1" x14ac:dyDescent="0.35">
      <c r="R9" s="7"/>
      <c r="S9" s="7">
        <f t="shared" si="4"/>
        <v>6</v>
      </c>
      <c r="T9" s="7">
        <f>$C$32</f>
        <v>4</v>
      </c>
      <c r="U9" s="32" t="str">
        <f>$D$32</f>
        <v>MAXIMILIANO HERNÁNDEZ OROZCO</v>
      </c>
    </row>
    <row r="10" spans="2:21" ht="16.2" thickBot="1" x14ac:dyDescent="0.35">
      <c r="B10" s="52" t="s">
        <v>47</v>
      </c>
      <c r="C10" s="2" t="s">
        <v>2</v>
      </c>
      <c r="D10" s="2" t="s">
        <v>3</v>
      </c>
      <c r="E10" s="2"/>
      <c r="F10" s="44" t="s">
        <v>4</v>
      </c>
      <c r="G10" s="45"/>
      <c r="H10" s="46"/>
      <c r="I10" s="33"/>
      <c r="J10" s="44" t="s">
        <v>5</v>
      </c>
      <c r="K10" s="45"/>
      <c r="L10" s="46"/>
      <c r="M10" s="2"/>
      <c r="N10" s="44" t="s">
        <v>6</v>
      </c>
      <c r="O10" s="45"/>
      <c r="P10" s="46"/>
      <c r="R10" s="7"/>
      <c r="S10" s="7">
        <f t="shared" si="4"/>
        <v>6</v>
      </c>
      <c r="T10" s="7">
        <f>$C$34</f>
        <v>4</v>
      </c>
      <c r="U10" s="32" t="str">
        <f>$D$34</f>
        <v>ESTEFANO ROLANDO BECERRA HERNANDEZ</v>
      </c>
    </row>
    <row r="11" spans="2:21" ht="15.6" x14ac:dyDescent="0.3">
      <c r="B11" s="53"/>
      <c r="C11" s="5">
        <f>(F13-H13)+(J13-L13)+(N13-P13)</f>
        <v>9</v>
      </c>
      <c r="D11" s="6" t="str">
        <f t="array" ref="D11">IF('Jornada 1'!G$76=1,INDEX('Jornada 1'!D$4:D$7,MATCH(4,'Jornada 1'!E$4:E$7,0)),INDEX('Jornada 1'!D$4:D$7,MATCH(3,'Jornada 1'!E$4:E$7,0)))</f>
        <v>IAN DE LA BARQUERA</v>
      </c>
      <c r="E11" s="17">
        <f t="shared" ref="E11:E14" si="5">COUNTIF(C$11:C$14,"&gt;"&amp;C11)+COUNTIF($C$11:C11,C11)</f>
        <v>1</v>
      </c>
      <c r="F11" s="20" t="str">
        <f t="shared" ref="F11:F12" si="6">D11</f>
        <v>IAN DE LA BARQUERA</v>
      </c>
      <c r="G11" s="48" t="s">
        <v>9</v>
      </c>
      <c r="H11" s="21" t="str">
        <f t="shared" ref="H11:H12" si="7">D13</f>
        <v xml:space="preserve">ALONSO CISNEROS SANCHEZ </v>
      </c>
      <c r="I11" s="34"/>
      <c r="J11" s="20" t="str">
        <f>D11</f>
        <v>IAN DE LA BARQUERA</v>
      </c>
      <c r="K11" s="48" t="s">
        <v>9</v>
      </c>
      <c r="L11" s="21" t="str">
        <f>D12</f>
        <v>ELISA CAROLINA DIAZ LAGUNA</v>
      </c>
      <c r="M11" s="27"/>
      <c r="N11" s="20" t="str">
        <f>D11</f>
        <v>IAN DE LA BARQUERA</v>
      </c>
      <c r="O11" s="48" t="s">
        <v>9</v>
      </c>
      <c r="P11" s="21" t="str">
        <f t="shared" ref="P11:P12" si="8">D12</f>
        <v>ELISA CAROLINA DIAZ LAGUNA</v>
      </c>
      <c r="R11" s="7"/>
      <c r="S11" s="7">
        <f t="shared" si="4"/>
        <v>8</v>
      </c>
      <c r="T11" s="7">
        <f>$C$39</f>
        <v>3</v>
      </c>
      <c r="U11" s="32" t="str">
        <f>$D$39</f>
        <v>LUCAS CONTRERAS PADRÓN</v>
      </c>
    </row>
    <row r="12" spans="2:21" ht="15.6" x14ac:dyDescent="0.3">
      <c r="B12" s="53"/>
      <c r="C12" s="8">
        <f>(F13-H13)+(L13-J13)+(P13-N13)</f>
        <v>-1</v>
      </c>
      <c r="D12" s="9" t="str">
        <f t="array" ref="D12">IF('Jornada 1'!G$76=1,INDEX('Jornada 1'!D$12:D$15,MATCH(2,'Jornada 1'!E$12:E$15,0)),INDEX('Jornada 1'!D$4:D$7,MATCH(4,'Jornada 1'!E$4:E$7,0)))</f>
        <v>ELISA CAROLINA DIAZ LAGUNA</v>
      </c>
      <c r="E12" s="17">
        <f t="shared" si="5"/>
        <v>2</v>
      </c>
      <c r="F12" s="22" t="str">
        <f t="shared" si="6"/>
        <v>ELISA CAROLINA DIAZ LAGUNA</v>
      </c>
      <c r="G12" s="38"/>
      <c r="H12" s="23" t="str">
        <f t="shared" si="7"/>
        <v xml:space="preserve">JESUS ANTONIO SEPULVEDA RODRIGUEZ </v>
      </c>
      <c r="I12" s="34"/>
      <c r="J12" s="22" t="str">
        <f>D13</f>
        <v xml:space="preserve">ALONSO CISNEROS SANCHEZ </v>
      </c>
      <c r="K12" s="38"/>
      <c r="L12" s="23" t="str">
        <f>D14</f>
        <v xml:space="preserve">JESUS ANTONIO SEPULVEDA RODRIGUEZ </v>
      </c>
      <c r="M12" s="28"/>
      <c r="N12" s="22" t="str">
        <f>D14</f>
        <v xml:space="preserve">JESUS ANTONIO SEPULVEDA RODRIGUEZ </v>
      </c>
      <c r="O12" s="38"/>
      <c r="P12" s="23" t="str">
        <f t="shared" si="8"/>
        <v xml:space="preserve">ALONSO CISNEROS SANCHEZ </v>
      </c>
      <c r="R12" s="7"/>
      <c r="S12" s="7">
        <f t="shared" si="4"/>
        <v>8</v>
      </c>
      <c r="T12" s="7">
        <f>$C$41</f>
        <v>3</v>
      </c>
      <c r="U12" s="32" t="str">
        <f>$D$41</f>
        <v>ADRIANA ESPINOZA SALDAÑA</v>
      </c>
    </row>
    <row r="13" spans="2:21" ht="15.6" x14ac:dyDescent="0.3">
      <c r="B13" s="53"/>
      <c r="C13" s="8">
        <f>(H13-F13)+(J13-L13)+(P13-N13)</f>
        <v>-5</v>
      </c>
      <c r="D13" s="9" t="str">
        <f t="array" ref="D13">IF('Jornada 1'!G$76=1,INDEX('Jornada 1'!D$12:D$15,MATCH(3,'Jornada 1'!E$12:E$15,0)),INDEX('Jornada 1'!D$20:D$23,MATCH(1,'Jornada 1'!E$20:E$23,0)))</f>
        <v xml:space="preserve">ALONSO CISNEROS SANCHEZ </v>
      </c>
      <c r="E13" s="17">
        <f t="shared" si="5"/>
        <v>4</v>
      </c>
      <c r="F13" s="40">
        <v>4</v>
      </c>
      <c r="G13" s="38"/>
      <c r="H13" s="36">
        <v>0</v>
      </c>
      <c r="I13" s="34"/>
      <c r="J13" s="40">
        <v>4</v>
      </c>
      <c r="K13" s="38"/>
      <c r="L13" s="36">
        <v>2</v>
      </c>
      <c r="M13" s="28"/>
      <c r="N13" s="40">
        <v>4</v>
      </c>
      <c r="O13" s="38"/>
      <c r="P13" s="36">
        <v>1</v>
      </c>
      <c r="R13" s="7"/>
      <c r="S13" s="7">
        <f t="shared" si="4"/>
        <v>10</v>
      </c>
      <c r="T13" s="7">
        <f>$C$33</f>
        <v>2</v>
      </c>
      <c r="U13" s="32" t="str">
        <f>$D$33</f>
        <v>JOSUÉ SANTIAGO PÉREZ MEDINA</v>
      </c>
    </row>
    <row r="14" spans="2:21" ht="16.2" thickBot="1" x14ac:dyDescent="0.35">
      <c r="B14" s="54"/>
      <c r="C14" s="8">
        <f>(H13-F13)+(L13-J13)+(N13-P13)</f>
        <v>-3</v>
      </c>
      <c r="D14" s="9" t="str">
        <f t="array" ref="D14">IF('Jornada 1'!G$76=1,INDEX('Jornada 1'!D$20:D$23,MATCH(1,'Jornada 1'!E$20:E$23,0)),INDEX('Jornada 1'!D$20:D$23,MATCH(2,'Jornada 1'!E$20:E$23,0)))</f>
        <v xml:space="preserve">JESUS ANTONIO SEPULVEDA RODRIGUEZ </v>
      </c>
      <c r="E14" s="17">
        <f t="shared" si="5"/>
        <v>3</v>
      </c>
      <c r="F14" s="50"/>
      <c r="G14" s="49"/>
      <c r="H14" s="47"/>
      <c r="I14" s="34"/>
      <c r="J14" s="50"/>
      <c r="K14" s="49"/>
      <c r="L14" s="47"/>
      <c r="M14" s="28"/>
      <c r="N14" s="50"/>
      <c r="O14" s="49"/>
      <c r="P14" s="47"/>
      <c r="R14" s="7"/>
      <c r="S14" s="7">
        <f t="shared" si="4"/>
        <v>11</v>
      </c>
      <c r="T14" s="7">
        <f>$C$20</f>
        <v>0</v>
      </c>
      <c r="U14" s="32" t="str">
        <f>$D$20</f>
        <v>DIEGO PATRICIO FERNANDEZ VIERA</v>
      </c>
    </row>
    <row r="15" spans="2:21" ht="15.6" x14ac:dyDescent="0.3">
      <c r="R15" s="7"/>
      <c r="S15" s="7">
        <f t="shared" si="4"/>
        <v>12</v>
      </c>
      <c r="T15" s="7">
        <f>$C$12</f>
        <v>-1</v>
      </c>
      <c r="U15" s="32" t="str">
        <f>$D$12</f>
        <v>ELISA CAROLINA DIAZ LAGUNA</v>
      </c>
    </row>
    <row r="16" spans="2:21" ht="16.2" thickBot="1" x14ac:dyDescent="0.35">
      <c r="R16" s="7"/>
      <c r="S16" s="7">
        <f t="shared" si="4"/>
        <v>12</v>
      </c>
      <c r="T16" s="7">
        <f>$C$27</f>
        <v>-1</v>
      </c>
      <c r="U16" s="32" t="str">
        <f>$D$27</f>
        <v>JOSE EMILIANO VAZQUEZ NUÑO</v>
      </c>
    </row>
    <row r="17" spans="2:21" ht="16.2" thickBot="1" x14ac:dyDescent="0.35">
      <c r="B17" s="52" t="s">
        <v>48</v>
      </c>
      <c r="C17" s="2" t="s">
        <v>2</v>
      </c>
      <c r="D17" s="2" t="s">
        <v>3</v>
      </c>
      <c r="E17" s="2"/>
      <c r="F17" s="44" t="s">
        <v>4</v>
      </c>
      <c r="G17" s="45"/>
      <c r="H17" s="46"/>
      <c r="I17" s="33"/>
      <c r="J17" s="44" t="s">
        <v>5</v>
      </c>
      <c r="K17" s="45"/>
      <c r="L17" s="46"/>
      <c r="M17" s="2"/>
      <c r="N17" s="44" t="s">
        <v>6</v>
      </c>
      <c r="O17" s="45"/>
      <c r="P17" s="46"/>
      <c r="R17" s="7"/>
      <c r="S17" s="7">
        <f t="shared" si="4"/>
        <v>14</v>
      </c>
      <c r="T17" s="7">
        <f>$C$5</f>
        <v>-3</v>
      </c>
      <c r="U17" s="32" t="str">
        <f>$D$5</f>
        <v>MARIANO GOMEZ VUILLEUMIER</v>
      </c>
    </row>
    <row r="18" spans="2:21" ht="15.6" x14ac:dyDescent="0.3">
      <c r="B18" s="53"/>
      <c r="C18" s="5">
        <f>(F20-H20)+(J20-L20)+(N20-P20)</f>
        <v>8</v>
      </c>
      <c r="D18" s="6" t="str">
        <f t="array" ref="D18">IF('Jornada 1'!G$76=1,INDEX('Jornada 1'!D$12:D$15,MATCH(4,'Jornada 1'!E$12:E$15,0)),INDEX('Jornada 1'!D$12:D$15,MATCH(3,'Jornada 1'!E$12:E$15,0)))</f>
        <v xml:space="preserve">IKER FRANCISCO NORIEGA JIMENEZ </v>
      </c>
      <c r="E18" s="17">
        <f t="shared" ref="E18:E21" si="9">COUNTIF(C$18:C$21,"&gt;"&amp;C18)+COUNTIF($C$18:C18,C18)</f>
        <v>1</v>
      </c>
      <c r="F18" s="20" t="str">
        <f t="shared" ref="F18:F19" si="10">D18</f>
        <v xml:space="preserve">IKER FRANCISCO NORIEGA JIMENEZ </v>
      </c>
      <c r="G18" s="48" t="s">
        <v>9</v>
      </c>
      <c r="H18" s="21" t="str">
        <f t="shared" ref="H18:H19" si="11">D20</f>
        <v>DIEGO PATRICIO FERNANDEZ VIERA</v>
      </c>
      <c r="I18" s="34"/>
      <c r="J18" s="20" t="str">
        <f>D18</f>
        <v xml:space="preserve">IKER FRANCISCO NORIEGA JIMENEZ </v>
      </c>
      <c r="K18" s="48" t="s">
        <v>9</v>
      </c>
      <c r="L18" s="21" t="str">
        <f>D19</f>
        <v>EMILIO MATEO OLIVARES CORTÉS</v>
      </c>
      <c r="M18" s="27"/>
      <c r="N18" s="20" t="str">
        <f>D18</f>
        <v xml:space="preserve">IKER FRANCISCO NORIEGA JIMENEZ </v>
      </c>
      <c r="O18" s="48" t="s">
        <v>9</v>
      </c>
      <c r="P18" s="21" t="str">
        <f t="shared" ref="P18:P19" si="12">D19</f>
        <v>EMILIO MATEO OLIVARES CORTÉS</v>
      </c>
      <c r="R18" s="7"/>
      <c r="S18" s="7">
        <f t="shared" si="4"/>
        <v>14</v>
      </c>
      <c r="T18" s="7">
        <f>$C$6</f>
        <v>-3</v>
      </c>
      <c r="U18" s="32" t="str">
        <f>$D$6</f>
        <v xml:space="preserve">NICOLAS MAXIMILIANO BRILL HERRERA </v>
      </c>
    </row>
    <row r="19" spans="2:21" ht="15.75" customHeight="1" x14ac:dyDescent="0.3">
      <c r="B19" s="53"/>
      <c r="C19" s="8">
        <f>(F20-H20)+(L20-J20)+(P20-N20)</f>
        <v>-4</v>
      </c>
      <c r="D19" s="9" t="str">
        <f t="array" ref="D19">IF('Jornada 1'!G$76=1,INDEX('Jornada 1'!D$20:D$23,MATCH(2,'Jornada 1'!E$20:E$23,0)),INDEX('Jornada 1'!D$12:D$15,MATCH(4,'Jornada 1'!E$12:E$15,0)))</f>
        <v>EMILIO MATEO OLIVARES CORTÉS</v>
      </c>
      <c r="E19" s="17">
        <f t="shared" si="9"/>
        <v>3</v>
      </c>
      <c r="F19" s="22" t="str">
        <f t="shared" si="10"/>
        <v>EMILIO MATEO OLIVARES CORTÉS</v>
      </c>
      <c r="G19" s="38"/>
      <c r="H19" s="23" t="str">
        <f t="shared" si="11"/>
        <v>MIGUEL ALCARAZ AMEZCUA</v>
      </c>
      <c r="I19" s="34"/>
      <c r="J19" s="22" t="str">
        <f>D20</f>
        <v>DIEGO PATRICIO FERNANDEZ VIERA</v>
      </c>
      <c r="K19" s="38"/>
      <c r="L19" s="23" t="str">
        <f>D21</f>
        <v>MIGUEL ALCARAZ AMEZCUA</v>
      </c>
      <c r="M19" s="28"/>
      <c r="N19" s="22" t="str">
        <f>D21</f>
        <v>MIGUEL ALCARAZ AMEZCUA</v>
      </c>
      <c r="O19" s="38"/>
      <c r="P19" s="23" t="str">
        <f t="shared" si="12"/>
        <v>DIEGO PATRICIO FERNANDEZ VIERA</v>
      </c>
      <c r="R19" s="7"/>
      <c r="S19" s="7">
        <f t="shared" si="4"/>
        <v>14</v>
      </c>
      <c r="T19" s="7">
        <f>$C$14</f>
        <v>-3</v>
      </c>
      <c r="U19" s="32" t="str">
        <f>$D$14</f>
        <v xml:space="preserve">JESUS ANTONIO SEPULVEDA RODRIGUEZ </v>
      </c>
    </row>
    <row r="20" spans="2:21" ht="15.75" customHeight="1" x14ac:dyDescent="0.3">
      <c r="B20" s="53"/>
      <c r="C20" s="8">
        <f>(H20-F20)+(J20-L20)+(P20-N20)</f>
        <v>0</v>
      </c>
      <c r="D20" s="9" t="str">
        <f t="array" ref="D20">IF('Jornada 1'!G$76=1,INDEX('Jornada 1'!D$20:D$23,MATCH(3,'Jornada 1'!E$20:E$23,0)),INDEX('Jornada 1'!D$28:D$31,MATCH(1,'Jornada 1'!E$28:E$31,0)))</f>
        <v>DIEGO PATRICIO FERNANDEZ VIERA</v>
      </c>
      <c r="E20" s="17">
        <f t="shared" si="9"/>
        <v>2</v>
      </c>
      <c r="F20" s="40">
        <v>4</v>
      </c>
      <c r="G20" s="38"/>
      <c r="H20" s="36">
        <v>2</v>
      </c>
      <c r="I20" s="34"/>
      <c r="J20" s="40">
        <v>4</v>
      </c>
      <c r="K20" s="38"/>
      <c r="L20" s="36">
        <v>0</v>
      </c>
      <c r="M20" s="28"/>
      <c r="N20" s="40">
        <v>4</v>
      </c>
      <c r="O20" s="38"/>
      <c r="P20" s="36">
        <v>2</v>
      </c>
      <c r="R20" s="7"/>
      <c r="S20" s="7">
        <f t="shared" si="4"/>
        <v>14</v>
      </c>
      <c r="T20" s="7">
        <f>$C$26</f>
        <v>-3</v>
      </c>
      <c r="U20" s="32" t="str">
        <f>$D$26</f>
        <v>CAMILO RODRIGUEZ PACHECO</v>
      </c>
    </row>
    <row r="21" spans="2:21" ht="15.75" customHeight="1" thickBot="1" x14ac:dyDescent="0.35">
      <c r="B21" s="54"/>
      <c r="C21" s="8">
        <f>(H20-F20)+(L20-J20)+(N20-P20)</f>
        <v>-4</v>
      </c>
      <c r="D21" s="9" t="str">
        <f t="array" ref="D21">IF('Jornada 1'!G$76=1,INDEX('Jornada 1'!D$28:D$31,MATCH(1,'Jornada 1'!E$28:E$31,0)),INDEX('Jornada 1'!D$28:D$31,MATCH(2,'Jornada 1'!E$28:E$31,0)))</f>
        <v>MIGUEL ALCARAZ AMEZCUA</v>
      </c>
      <c r="E21" s="17">
        <f t="shared" si="9"/>
        <v>4</v>
      </c>
      <c r="F21" s="50"/>
      <c r="G21" s="49"/>
      <c r="H21" s="47"/>
      <c r="I21" s="34"/>
      <c r="J21" s="50"/>
      <c r="K21" s="49"/>
      <c r="L21" s="47"/>
      <c r="M21" s="28"/>
      <c r="N21" s="50"/>
      <c r="O21" s="49"/>
      <c r="P21" s="47"/>
      <c r="R21" s="7"/>
      <c r="S21" s="7">
        <f t="shared" si="4"/>
        <v>18</v>
      </c>
      <c r="T21" s="7">
        <f>$C$19</f>
        <v>-4</v>
      </c>
      <c r="U21" s="32" t="str">
        <f>$D$19</f>
        <v>EMILIO MATEO OLIVARES CORTÉS</v>
      </c>
    </row>
    <row r="22" spans="2:21" ht="15.75" customHeight="1" x14ac:dyDescent="0.3">
      <c r="R22" s="7"/>
      <c r="S22" s="7">
        <f t="shared" si="4"/>
        <v>18</v>
      </c>
      <c r="T22" s="7">
        <f>$C$21</f>
        <v>-4</v>
      </c>
      <c r="U22" s="32" t="str">
        <f>$D$21</f>
        <v>MIGUEL ALCARAZ AMEZCUA</v>
      </c>
    </row>
    <row r="23" spans="2:21" ht="15.75" customHeight="1" thickBot="1" x14ac:dyDescent="0.35">
      <c r="R23" s="7"/>
      <c r="S23" s="7">
        <f t="shared" si="4"/>
        <v>20</v>
      </c>
      <c r="T23" s="7">
        <f>$C$7</f>
        <v>-5</v>
      </c>
      <c r="U23" s="32" t="str">
        <f>$D$7</f>
        <v>MARIANO NAVARRO LEAÑO</v>
      </c>
    </row>
    <row r="24" spans="2:21" ht="15.75" customHeight="1" thickBot="1" x14ac:dyDescent="0.35">
      <c r="B24" s="52" t="s">
        <v>49</v>
      </c>
      <c r="C24" s="2" t="s">
        <v>2</v>
      </c>
      <c r="D24" s="2" t="s">
        <v>3</v>
      </c>
      <c r="E24" s="2"/>
      <c r="F24" s="44" t="s">
        <v>4</v>
      </c>
      <c r="G24" s="45"/>
      <c r="H24" s="46"/>
      <c r="I24" s="33"/>
      <c r="J24" s="44" t="s">
        <v>5</v>
      </c>
      <c r="K24" s="45"/>
      <c r="L24" s="46"/>
      <c r="M24" s="2"/>
      <c r="N24" s="44" t="s">
        <v>6</v>
      </c>
      <c r="O24" s="45"/>
      <c r="P24" s="46"/>
      <c r="R24" s="7"/>
      <c r="S24" s="7">
        <f t="shared" si="4"/>
        <v>20</v>
      </c>
      <c r="T24" s="7">
        <f>$C$13</f>
        <v>-5</v>
      </c>
      <c r="U24" s="32" t="str">
        <f>$D$13</f>
        <v xml:space="preserve">ALONSO CISNEROS SANCHEZ </v>
      </c>
    </row>
    <row r="25" spans="2:21" ht="15.75" customHeight="1" x14ac:dyDescent="0.3">
      <c r="B25" s="53"/>
      <c r="C25" s="5">
        <f>(F27-H27)+(J27-L27)+(N27-P27)</f>
        <v>-5</v>
      </c>
      <c r="D25" s="9" t="str">
        <f t="array" ref="D25">IF('Jornada 1'!G$76=1,INDEX('Jornada 1'!D$28:D$31,MATCH(2,'Jornada 1'!E$28:E$31,0)),INDEX('Jornada 1'!D$20:D$23,MATCH(4,'Jornada 1'!E$20:E$23,0)))</f>
        <v>ALEJANDRO CAMARENA LOPEZ</v>
      </c>
      <c r="E25" s="17">
        <f t="shared" ref="E25:E28" si="13">COUNTIF(C$25:C$28,"&gt;"&amp;C25)+COUNTIF($C$25:C25,C25)</f>
        <v>4</v>
      </c>
      <c r="F25" s="20" t="str">
        <f t="shared" ref="F25:F26" si="14">D25</f>
        <v>ALEJANDRO CAMARENA LOPEZ</v>
      </c>
      <c r="G25" s="48" t="s">
        <v>9</v>
      </c>
      <c r="H25" s="21" t="str">
        <f t="shared" ref="H25" si="15">D27</f>
        <v>JOSE EMILIANO VAZQUEZ NUÑO</v>
      </c>
      <c r="I25" s="34"/>
      <c r="J25" s="20" t="str">
        <f>D25</f>
        <v>ALEJANDRO CAMARENA LOPEZ</v>
      </c>
      <c r="K25" s="48" t="s">
        <v>9</v>
      </c>
      <c r="L25" s="21" t="str">
        <f>D26</f>
        <v>CAMILO RODRIGUEZ PACHECO</v>
      </c>
      <c r="M25" s="27"/>
      <c r="N25" s="20" t="str">
        <f>D25</f>
        <v>ALEJANDRO CAMARENA LOPEZ</v>
      </c>
      <c r="O25" s="48" t="s">
        <v>9</v>
      </c>
      <c r="P25" s="21" t="str">
        <f t="shared" ref="P25:P26" si="16">D26</f>
        <v>CAMILO RODRIGUEZ PACHECO</v>
      </c>
      <c r="S25" s="7">
        <f t="shared" si="4"/>
        <v>20</v>
      </c>
      <c r="T25" s="7">
        <f>$C$25</f>
        <v>-5</v>
      </c>
      <c r="U25" s="32" t="str">
        <f>$D$25</f>
        <v>ALEJANDRO CAMARENA LOPEZ</v>
      </c>
    </row>
    <row r="26" spans="2:21" ht="15.75" customHeight="1" x14ac:dyDescent="0.3">
      <c r="B26" s="53"/>
      <c r="C26" s="8">
        <f>(F27-H27)+(L27-J27)+(P27-N27)</f>
        <v>-3</v>
      </c>
      <c r="D26" s="9" t="str">
        <f t="array" ref="D26">IF('Jornada 1'!G$76=1,INDEX('Jornada 1'!D$28:D$31,MATCH(3,'Jornada 1'!E$28:E$31,0)),INDEX('Jornada 1'!D$36:D$39,MATCH(1,'Jornada 1'!E$36:E$39,0)))</f>
        <v>CAMILO RODRIGUEZ PACHECO</v>
      </c>
      <c r="E26" s="17">
        <f t="shared" si="13"/>
        <v>3</v>
      </c>
      <c r="F26" s="22" t="str">
        <f t="shared" si="14"/>
        <v>CAMILO RODRIGUEZ PACHECO</v>
      </c>
      <c r="G26" s="38"/>
      <c r="H26" s="23" t="str">
        <f>D28</f>
        <v>MAURICIO LOZANO CASTILLERO</v>
      </c>
      <c r="I26" s="34"/>
      <c r="J26" s="22" t="str">
        <f>D27</f>
        <v>JOSE EMILIANO VAZQUEZ NUÑO</v>
      </c>
      <c r="K26" s="38"/>
      <c r="L26" s="23" t="str">
        <f>D28</f>
        <v>MAURICIO LOZANO CASTILLERO</v>
      </c>
      <c r="M26" s="28"/>
      <c r="N26" s="22" t="str">
        <f>D28</f>
        <v>MAURICIO LOZANO CASTILLERO</v>
      </c>
      <c r="O26" s="38"/>
      <c r="P26" s="23" t="str">
        <f t="shared" si="16"/>
        <v>JOSE EMILIANO VAZQUEZ NUÑO</v>
      </c>
      <c r="S26" s="7">
        <f t="shared" si="4"/>
        <v>23</v>
      </c>
      <c r="T26" s="7">
        <f>$C$35</f>
        <v>-10</v>
      </c>
      <c r="U26" s="32" t="str">
        <f>$D$35</f>
        <v>ALBERTO ROBLES ARMENTA</v>
      </c>
    </row>
    <row r="27" spans="2:21" ht="15.75" customHeight="1" x14ac:dyDescent="0.3">
      <c r="B27" s="53"/>
      <c r="C27" s="8">
        <f>(H27-F27)+(J27-L27)+(P27-N27)</f>
        <v>-1</v>
      </c>
      <c r="D27" s="9" t="str">
        <f t="array" ref="D27">IF('Jornada 1'!G$76=1,INDEX('Jornada 1'!D$36:D$39,MATCH(1,'Jornada 1'!E$36:E$39,0)),INDEX('Jornada 1'!D$36:D$39,MATCH(2,'Jornada 1'!E$36:E$39,0)))</f>
        <v>JOSE EMILIANO VAZQUEZ NUÑO</v>
      </c>
      <c r="E27" s="17">
        <f t="shared" si="13"/>
        <v>2</v>
      </c>
      <c r="F27" s="40">
        <v>0</v>
      </c>
      <c r="G27" s="38"/>
      <c r="H27" s="36">
        <v>4</v>
      </c>
      <c r="I27" s="34"/>
      <c r="J27" s="40">
        <v>1</v>
      </c>
      <c r="K27" s="38"/>
      <c r="L27" s="36">
        <v>4</v>
      </c>
      <c r="M27" s="28"/>
      <c r="N27" s="40">
        <v>4</v>
      </c>
      <c r="O27" s="38"/>
      <c r="P27" s="36">
        <v>2</v>
      </c>
      <c r="S27" s="7">
        <f t="shared" si="4"/>
        <v>24</v>
      </c>
      <c r="T27" s="7">
        <f>$C$42</f>
        <v>-11</v>
      </c>
      <c r="U27" s="32" t="str">
        <f>$D$42</f>
        <v>CHRISTIAN ULISES ACOSTA LOMELI</v>
      </c>
    </row>
    <row r="28" spans="2:21" ht="15.75" customHeight="1" thickBot="1" x14ac:dyDescent="0.35">
      <c r="B28" s="54"/>
      <c r="C28" s="8">
        <f>(H27-F27)+(L27-J27)+(N27-P27)</f>
        <v>9</v>
      </c>
      <c r="D28" s="6" t="s">
        <v>53</v>
      </c>
      <c r="E28" s="17">
        <f t="shared" si="13"/>
        <v>1</v>
      </c>
      <c r="F28" s="50"/>
      <c r="G28" s="49"/>
      <c r="H28" s="47"/>
      <c r="I28" s="34"/>
      <c r="J28" s="50"/>
      <c r="K28" s="49"/>
      <c r="L28" s="47"/>
      <c r="M28" s="28"/>
      <c r="N28" s="50"/>
      <c r="O28" s="49"/>
      <c r="P28" s="47"/>
    </row>
    <row r="29" spans="2:21" ht="15.75" customHeight="1" x14ac:dyDescent="0.3"/>
    <row r="30" spans="2:21" ht="15.75" customHeight="1" thickBot="1" x14ac:dyDescent="0.35"/>
    <row r="31" spans="2:21" ht="15.75" customHeight="1" thickBot="1" x14ac:dyDescent="0.35">
      <c r="B31" s="52" t="s">
        <v>50</v>
      </c>
      <c r="C31" s="2" t="s">
        <v>2</v>
      </c>
      <c r="D31" s="2" t="s">
        <v>3</v>
      </c>
      <c r="E31" s="2"/>
      <c r="F31" s="44" t="s">
        <v>4</v>
      </c>
      <c r="G31" s="45"/>
      <c r="H31" s="46"/>
      <c r="I31" s="33"/>
      <c r="J31" s="44" t="s">
        <v>5</v>
      </c>
      <c r="K31" s="45"/>
      <c r="L31" s="46"/>
      <c r="M31" s="2"/>
      <c r="N31" s="44" t="s">
        <v>6</v>
      </c>
      <c r="O31" s="45"/>
      <c r="P31" s="46"/>
    </row>
    <row r="32" spans="2:21" ht="15.75" customHeight="1" x14ac:dyDescent="0.3">
      <c r="B32" s="53"/>
      <c r="C32" s="5">
        <f>(F34-H34)+(J34-L34)+(N34-P34)</f>
        <v>4</v>
      </c>
      <c r="D32" s="6" t="str">
        <f t="array" ref="D32">IF('Jornada 1'!G$76=1,INDEX('Jornada 1'!D$20:D$23,MATCH(4,'Jornada 1'!E$20:E$23,0)),INDEX('Jornada 1'!D$20:D$23,MATCH(3,'Jornada 1'!E$20:E$23,0)))</f>
        <v>MAXIMILIANO HERNÁNDEZ OROZCO</v>
      </c>
      <c r="E32" s="17">
        <f t="shared" ref="E32:E35" si="17">COUNTIF(C$32:C$35,"&gt;"&amp;C32)+COUNTIF($C$32:C32,C32)</f>
        <v>1</v>
      </c>
      <c r="F32" s="20" t="str">
        <f t="shared" ref="F32:F33" si="18">D32</f>
        <v>MAXIMILIANO HERNÁNDEZ OROZCO</v>
      </c>
      <c r="G32" s="48" t="s">
        <v>9</v>
      </c>
      <c r="H32" s="21" t="str">
        <f t="shared" ref="H32:H33" si="19">D34</f>
        <v>ESTEFANO ROLANDO BECERRA HERNANDEZ</v>
      </c>
      <c r="I32" s="34"/>
      <c r="J32" s="20" t="str">
        <f>D32</f>
        <v>MAXIMILIANO HERNÁNDEZ OROZCO</v>
      </c>
      <c r="K32" s="48" t="s">
        <v>9</v>
      </c>
      <c r="L32" s="21" t="str">
        <f>D33</f>
        <v>JOSUÉ SANTIAGO PÉREZ MEDINA</v>
      </c>
      <c r="M32" s="27"/>
      <c r="N32" s="20" t="str">
        <f>D32</f>
        <v>MAXIMILIANO HERNÁNDEZ OROZCO</v>
      </c>
      <c r="O32" s="48" t="s">
        <v>9</v>
      </c>
      <c r="P32" s="21" t="str">
        <f t="shared" ref="P32:P33" si="20">D33</f>
        <v>JOSUÉ SANTIAGO PÉREZ MEDINA</v>
      </c>
    </row>
    <row r="33" spans="1:16" ht="15.75" customHeight="1" x14ac:dyDescent="0.3">
      <c r="B33" s="53"/>
      <c r="C33" s="8">
        <f>(F34-H34)+(L34-J34)+(P34-N34)</f>
        <v>2</v>
      </c>
      <c r="D33" s="6" t="str">
        <f t="array" ref="D33">IF('Jornada 1'!G$76=1,INDEX('Jornada 1'!D$28:D$31,MATCH(4,'Jornada 1'!E$28:E$31,0)),INDEX('Jornada 1'!D$28:D$31,MATCH(3,'Jornada 1'!E$28:E$31,0)))</f>
        <v>JOSUÉ SANTIAGO PÉREZ MEDINA</v>
      </c>
      <c r="E33" s="17">
        <f t="shared" si="17"/>
        <v>3</v>
      </c>
      <c r="F33" s="22" t="str">
        <f t="shared" si="18"/>
        <v>JOSUÉ SANTIAGO PÉREZ MEDINA</v>
      </c>
      <c r="G33" s="38"/>
      <c r="H33" s="23" t="str">
        <f t="shared" si="19"/>
        <v>ALBERTO ROBLES ARMENTA</v>
      </c>
      <c r="I33" s="34"/>
      <c r="J33" s="22" t="str">
        <f>D34</f>
        <v>ESTEFANO ROLANDO BECERRA HERNANDEZ</v>
      </c>
      <c r="K33" s="38"/>
      <c r="L33" s="23" t="str">
        <f>D35</f>
        <v>ALBERTO ROBLES ARMENTA</v>
      </c>
      <c r="M33" s="28"/>
      <c r="N33" s="22" t="str">
        <f>D35</f>
        <v>ALBERTO ROBLES ARMENTA</v>
      </c>
      <c r="O33" s="38"/>
      <c r="P33" s="23" t="str">
        <f t="shared" si="20"/>
        <v>ESTEFANO ROLANDO BECERRA HERNANDEZ</v>
      </c>
    </row>
    <row r="34" spans="1:16" ht="15.75" customHeight="1" x14ac:dyDescent="0.3">
      <c r="B34" s="53"/>
      <c r="C34" s="8">
        <f>(H34-F34)+(J34-L34)+(P34-N34)</f>
        <v>4</v>
      </c>
      <c r="D34" s="9" t="str">
        <f t="array" ref="D34">IF('Jornada 1'!G$76=1,INDEX('Jornada 1'!D$36:D$39,MATCH(2,'Jornada 1'!E$36:E$39,0)),INDEX('Jornada 1'!D$28:D$31,MATCH(4,'Jornada 1'!E$28:E$31,0)))</f>
        <v>ESTEFANO ROLANDO BECERRA HERNANDEZ</v>
      </c>
      <c r="E34" s="17">
        <f t="shared" si="17"/>
        <v>2</v>
      </c>
      <c r="F34" s="40">
        <v>4</v>
      </c>
      <c r="G34" s="38"/>
      <c r="H34" s="36">
        <v>1</v>
      </c>
      <c r="I34" s="34"/>
      <c r="J34" s="40">
        <v>4</v>
      </c>
      <c r="K34" s="38"/>
      <c r="L34" s="36">
        <v>0</v>
      </c>
      <c r="M34" s="28"/>
      <c r="N34" s="40">
        <v>1</v>
      </c>
      <c r="O34" s="38"/>
      <c r="P34" s="36">
        <v>4</v>
      </c>
    </row>
    <row r="35" spans="1:16" ht="15.75" customHeight="1" thickBot="1" x14ac:dyDescent="0.35">
      <c r="A35" t="s">
        <v>56</v>
      </c>
      <c r="B35" s="54"/>
      <c r="C35" s="8">
        <f>(H34-F34)+(L34-J34)+(N34-P34)</f>
        <v>-10</v>
      </c>
      <c r="D35" s="9" t="str">
        <f t="array" ref="D35">IF('Jornada 1'!G$76=1,INDEX('Jornada 1'!D$36:D$39,MATCH(3,'Jornada 1'!E$36:E$39,0)),INDEX('Jornada 1'!D$44:D$47,MATCH(1,'Jornada 1'!E$44:E$47,0)))</f>
        <v>ALBERTO ROBLES ARMENTA</v>
      </c>
      <c r="E35" s="17">
        <f t="shared" si="17"/>
        <v>4</v>
      </c>
      <c r="F35" s="50"/>
      <c r="G35" s="49"/>
      <c r="H35" s="47"/>
      <c r="I35" s="34"/>
      <c r="J35" s="50"/>
      <c r="K35" s="49"/>
      <c r="L35" s="47"/>
      <c r="M35" s="28"/>
      <c r="N35" s="50"/>
      <c r="O35" s="49"/>
      <c r="P35" s="47"/>
    </row>
    <row r="36" spans="1:16" ht="15.75" customHeight="1" x14ac:dyDescent="0.3"/>
    <row r="37" spans="1:16" ht="15.75" customHeight="1" thickBot="1" x14ac:dyDescent="0.35"/>
    <row r="38" spans="1:16" ht="15.75" customHeight="1" thickBot="1" x14ac:dyDescent="0.35">
      <c r="B38" s="52" t="s">
        <v>51</v>
      </c>
      <c r="C38" s="2" t="s">
        <v>2</v>
      </c>
      <c r="D38" s="2" t="s">
        <v>3</v>
      </c>
      <c r="E38" s="2"/>
      <c r="F38" s="44" t="s">
        <v>4</v>
      </c>
      <c r="G38" s="45"/>
      <c r="H38" s="46"/>
      <c r="I38" s="33"/>
      <c r="J38" s="44" t="s">
        <v>5</v>
      </c>
      <c r="K38" s="45"/>
      <c r="L38" s="46"/>
      <c r="M38" s="2"/>
      <c r="N38" s="44" t="s">
        <v>6</v>
      </c>
      <c r="O38" s="45"/>
      <c r="P38" s="46"/>
    </row>
    <row r="39" spans="1:16" ht="15.75" customHeight="1" x14ac:dyDescent="0.3">
      <c r="B39" s="53"/>
      <c r="C39" s="5">
        <f>(F41-H41)+(J41-L41)+(N41-P41)</f>
        <v>3</v>
      </c>
      <c r="D39" s="6" t="str">
        <f t="array" ref="D39">IF('Jornada 1'!G$76=1,INDEX('Jornada 1'!D$36:D$39,MATCH(4,'Jornada 1'!E$36:E$39,0)),INDEX('Jornada 1'!D$36:D$39,MATCH(3,'Jornada 1'!E$36:E$39,0)))</f>
        <v>LUCAS CONTRERAS PADRÓN</v>
      </c>
      <c r="E39" s="6">
        <f t="shared" ref="E39:E42" si="21">COUNTIF(C$39:C$42,"&gt;"&amp;C39)+COUNTIF($C$39:C39,C39)</f>
        <v>2</v>
      </c>
      <c r="F39" s="6" t="str">
        <f t="shared" ref="F39:F40" si="22">D39</f>
        <v>LUCAS CONTRERAS PADRÓN</v>
      </c>
      <c r="G39" s="48" t="s">
        <v>9</v>
      </c>
      <c r="H39" s="6" t="str">
        <f>D41</f>
        <v>ADRIANA ESPINOZA SALDAÑA</v>
      </c>
      <c r="I39" s="34"/>
      <c r="J39" s="6" t="str">
        <f>D39</f>
        <v>LUCAS CONTRERAS PADRÓN</v>
      </c>
      <c r="K39" s="48" t="s">
        <v>9</v>
      </c>
      <c r="L39" s="6" t="str">
        <f>D40</f>
        <v>LEO LUCERO KOLB</v>
      </c>
      <c r="M39" s="6"/>
      <c r="N39" s="6" t="str">
        <f>D39</f>
        <v>LUCAS CONTRERAS PADRÓN</v>
      </c>
      <c r="O39" s="48" t="s">
        <v>9</v>
      </c>
      <c r="P39" s="6" t="str">
        <f t="shared" ref="P39" si="23">D40</f>
        <v>LEO LUCERO KOLB</v>
      </c>
    </row>
    <row r="40" spans="1:16" ht="15.75" customHeight="1" x14ac:dyDescent="0.3">
      <c r="B40" s="53"/>
      <c r="C40" s="8">
        <f>(F41-H41)+(L41-J41)+(P41-N41)</f>
        <v>5</v>
      </c>
      <c r="D40" s="9" t="str">
        <f t="array" ref="D40">IF('Jornada 1'!G$76=1,INDEX('Jornada 1'!D$44:D$47,MATCH(1,'Jornada 1'!E$44:E$47,0)),INDEX('Jornada 1'!D$44:D$47,MATCH(2,'Jornada 1'!E$44:E$47,0)))</f>
        <v>LEO LUCERO KOLB</v>
      </c>
      <c r="E40" s="6">
        <f t="shared" si="21"/>
        <v>1</v>
      </c>
      <c r="F40" s="9" t="str">
        <f t="shared" si="22"/>
        <v>LEO LUCERO KOLB</v>
      </c>
      <c r="G40" s="38"/>
      <c r="H40" s="9" t="str">
        <f t="shared" ref="H40" si="24">D42</f>
        <v>CHRISTIAN ULISES ACOSTA LOMELI</v>
      </c>
      <c r="I40" s="34"/>
      <c r="J40" s="9" t="str">
        <f>D41</f>
        <v>ADRIANA ESPINOZA SALDAÑA</v>
      </c>
      <c r="K40" s="38"/>
      <c r="L40" s="9" t="str">
        <f>D42</f>
        <v>CHRISTIAN ULISES ACOSTA LOMELI</v>
      </c>
      <c r="M40" s="9"/>
      <c r="N40" s="9" t="str">
        <f>D42</f>
        <v>CHRISTIAN ULISES ACOSTA LOMELI</v>
      </c>
      <c r="O40" s="38"/>
      <c r="P40" s="9" t="str">
        <f>D41</f>
        <v>ADRIANA ESPINOZA SALDAÑA</v>
      </c>
    </row>
    <row r="41" spans="1:16" ht="15.75" customHeight="1" x14ac:dyDescent="0.3">
      <c r="B41" s="53"/>
      <c r="C41" s="8">
        <f>(H41-F41)+(J41-L41)+(P41-N41)</f>
        <v>3</v>
      </c>
      <c r="D41" s="9" t="str">
        <f t="array" ref="D41">IF('Jornada 1'!G$76=1,INDEX('Jornada 1'!D$44:D$47,MATCH(2,'Jornada 1'!E$44:E$47,0)),INDEX('Jornada 1'!D$36:D$39,MATCH(4,'Jornada 1'!E$36:E$39,0)))</f>
        <v>ADRIANA ESPINOZA SALDAÑA</v>
      </c>
      <c r="E41" s="6">
        <f t="shared" si="21"/>
        <v>3</v>
      </c>
      <c r="F41" s="42">
        <v>4</v>
      </c>
      <c r="G41" s="38"/>
      <c r="H41" s="42">
        <v>0</v>
      </c>
      <c r="I41" s="34"/>
      <c r="J41" s="42">
        <v>4</v>
      </c>
      <c r="K41" s="38"/>
      <c r="L41" s="42">
        <v>1</v>
      </c>
      <c r="M41" s="9"/>
      <c r="N41" s="42">
        <v>0</v>
      </c>
      <c r="O41" s="38"/>
      <c r="P41" s="42">
        <v>4</v>
      </c>
    </row>
    <row r="42" spans="1:16" ht="15.75" customHeight="1" x14ac:dyDescent="0.3">
      <c r="B42" s="54"/>
      <c r="C42" s="8">
        <f>(H41-F41)+(L41-J41)+(N41-P41)</f>
        <v>-11</v>
      </c>
      <c r="D42" s="9" t="str">
        <f t="array" ref="D42">INDEX('Jornada 1'!D$40:D$47,MATCH(4,'Jornada 1'!E$40:E$47,0))</f>
        <v>CHRISTIAN ULISES ACOSTA LOMELI</v>
      </c>
      <c r="E42" s="6">
        <f t="shared" si="21"/>
        <v>4</v>
      </c>
      <c r="F42" s="39"/>
      <c r="G42" s="51"/>
      <c r="H42" s="39"/>
      <c r="I42" s="34"/>
      <c r="J42" s="39"/>
      <c r="K42" s="51"/>
      <c r="L42" s="39"/>
      <c r="M42" s="9"/>
      <c r="N42" s="39"/>
      <c r="O42" s="51"/>
      <c r="P42" s="39"/>
    </row>
    <row r="43" spans="1:16" ht="15.75" customHeight="1" x14ac:dyDescent="0.3"/>
    <row r="44" spans="1:16" ht="15.75" hidden="1" customHeight="1" x14ac:dyDescent="0.3"/>
    <row r="45" spans="1:16" ht="15.75" hidden="1" customHeight="1" x14ac:dyDescent="0.3">
      <c r="B45" s="42" t="s">
        <v>15</v>
      </c>
      <c r="C45" s="2" t="s">
        <v>2</v>
      </c>
      <c r="D45" s="2" t="s">
        <v>3</v>
      </c>
      <c r="E45" s="2"/>
      <c r="F45" s="2" t="s">
        <v>4</v>
      </c>
      <c r="G45" s="2"/>
      <c r="H45" s="2"/>
      <c r="I45" s="2"/>
      <c r="J45" s="2" t="s">
        <v>5</v>
      </c>
      <c r="K45" s="2"/>
      <c r="L45" s="2"/>
      <c r="M45" s="2"/>
      <c r="N45" s="2" t="s">
        <v>6</v>
      </c>
      <c r="O45" s="2"/>
      <c r="P45" s="3"/>
    </row>
    <row r="46" spans="1:16" ht="15.75" hidden="1" customHeight="1" x14ac:dyDescent="0.3">
      <c r="B46" s="43"/>
      <c r="C46" s="5">
        <f>(F48-H48)+(J48-L48)+(N48-P48)</f>
        <v>0</v>
      </c>
      <c r="D46" s="6" t="s">
        <v>16</v>
      </c>
      <c r="E46" s="6"/>
      <c r="F46" s="6" t="str">
        <f t="shared" ref="F46:F47" si="25">D46</f>
        <v>Jugador 1</v>
      </c>
      <c r="G46" s="38" t="s">
        <v>9</v>
      </c>
      <c r="H46" s="6" t="str">
        <f t="shared" ref="H46:H47" si="26">D48</f>
        <v>Jugador 3</v>
      </c>
      <c r="I46" s="6"/>
      <c r="J46" s="6" t="str">
        <f>D46</f>
        <v>Jugador 1</v>
      </c>
      <c r="K46" s="38" t="s">
        <v>9</v>
      </c>
      <c r="L46" s="6" t="str">
        <f>D47</f>
        <v>Jugador 2</v>
      </c>
      <c r="M46" s="6"/>
      <c r="N46" s="6" t="str">
        <f>D46</f>
        <v>Jugador 1</v>
      </c>
      <c r="O46" s="38" t="s">
        <v>9</v>
      </c>
      <c r="P46" s="6" t="str">
        <f t="shared" ref="P46:P47" si="27">D47</f>
        <v>Jugador 2</v>
      </c>
    </row>
    <row r="47" spans="1:16" ht="15.75" hidden="1" customHeight="1" x14ac:dyDescent="0.3">
      <c r="B47" s="43"/>
      <c r="C47" s="8">
        <f>(F48-H48)+(L48-J48)+(P48-N48)</f>
        <v>0</v>
      </c>
      <c r="D47" s="9" t="s">
        <v>17</v>
      </c>
      <c r="E47" s="9"/>
      <c r="F47" s="9" t="str">
        <f t="shared" si="25"/>
        <v>Jugador 2</v>
      </c>
      <c r="G47" s="39"/>
      <c r="H47" s="9" t="str">
        <f t="shared" si="26"/>
        <v>Jugador 4</v>
      </c>
      <c r="I47" s="9"/>
      <c r="J47" s="9" t="str">
        <f>D48</f>
        <v>Jugador 3</v>
      </c>
      <c r="K47" s="39"/>
      <c r="L47" s="9" t="str">
        <f>D49</f>
        <v>Jugador 4</v>
      </c>
      <c r="M47" s="9"/>
      <c r="N47" s="9" t="str">
        <f>D49</f>
        <v>Jugador 4</v>
      </c>
      <c r="O47" s="39"/>
      <c r="P47" s="9" t="str">
        <f t="shared" si="27"/>
        <v>Jugador 3</v>
      </c>
    </row>
    <row r="48" spans="1:16" ht="15.75" hidden="1" customHeight="1" x14ac:dyDescent="0.3">
      <c r="B48" s="43"/>
      <c r="C48" s="8">
        <f>(H48-F48)+(J48-L48)+(P48-N48)</f>
        <v>0</v>
      </c>
      <c r="D48" s="9" t="s">
        <v>18</v>
      </c>
      <c r="E48" s="9"/>
      <c r="F48" s="42"/>
      <c r="G48" s="9"/>
      <c r="H48" s="42"/>
      <c r="I48" s="9"/>
      <c r="J48" s="42"/>
      <c r="K48" s="9"/>
      <c r="L48" s="42"/>
      <c r="M48" s="9"/>
      <c r="N48" s="42"/>
      <c r="O48" s="9"/>
      <c r="P48" s="42"/>
    </row>
    <row r="49" spans="2:16" ht="15.75" hidden="1" customHeight="1" x14ac:dyDescent="0.3">
      <c r="B49" s="43"/>
      <c r="C49" s="8">
        <f>(H48-F48)+(L48-J48)+(N48-P48)</f>
        <v>0</v>
      </c>
      <c r="D49" s="9" t="s">
        <v>19</v>
      </c>
      <c r="E49" s="9"/>
      <c r="F49" s="39"/>
      <c r="G49" s="9"/>
      <c r="H49" s="39"/>
      <c r="I49" s="9"/>
      <c r="J49" s="39"/>
      <c r="K49" s="9"/>
      <c r="L49" s="39"/>
      <c r="M49" s="9"/>
      <c r="N49" s="39"/>
      <c r="O49" s="9"/>
      <c r="P49" s="39"/>
    </row>
    <row r="50" spans="2:16" ht="15.75" hidden="1" customHeight="1" x14ac:dyDescent="0.3">
      <c r="B50" s="39"/>
      <c r="C50" s="1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5.75" hidden="1" customHeight="1" x14ac:dyDescent="0.3"/>
    <row r="52" spans="2:16" ht="15.75" hidden="1" customHeight="1" x14ac:dyDescent="0.3"/>
    <row r="53" spans="2:16" ht="15.75" hidden="1" customHeight="1" x14ac:dyDescent="0.3">
      <c r="B53" s="42" t="s">
        <v>20</v>
      </c>
      <c r="C53" s="2" t="s">
        <v>2</v>
      </c>
      <c r="D53" s="2" t="s">
        <v>3</v>
      </c>
      <c r="E53" s="2"/>
      <c r="F53" s="2" t="s">
        <v>4</v>
      </c>
      <c r="G53" s="2"/>
      <c r="H53" s="2"/>
      <c r="I53" s="2"/>
      <c r="J53" s="2" t="s">
        <v>5</v>
      </c>
      <c r="K53" s="2"/>
      <c r="L53" s="2"/>
      <c r="M53" s="2"/>
      <c r="N53" s="2" t="s">
        <v>6</v>
      </c>
      <c r="O53" s="2"/>
      <c r="P53" s="3"/>
    </row>
    <row r="54" spans="2:16" ht="15.75" hidden="1" customHeight="1" x14ac:dyDescent="0.3">
      <c r="B54" s="43"/>
      <c r="C54" s="5">
        <f>(F56-H56)+(J56-L56)+(N56-P56)</f>
        <v>0</v>
      </c>
      <c r="D54" s="6" t="s">
        <v>16</v>
      </c>
      <c r="E54" s="6"/>
      <c r="F54" s="6" t="str">
        <f t="shared" ref="F54:F55" si="28">D54</f>
        <v>Jugador 1</v>
      </c>
      <c r="G54" s="38" t="s">
        <v>9</v>
      </c>
      <c r="H54" s="6" t="str">
        <f t="shared" ref="H54:H55" si="29">D56</f>
        <v>Jugador 3</v>
      </c>
      <c r="I54" s="6"/>
      <c r="J54" s="6" t="str">
        <f>D54</f>
        <v>Jugador 1</v>
      </c>
      <c r="K54" s="38" t="s">
        <v>9</v>
      </c>
      <c r="L54" s="6" t="str">
        <f>D55</f>
        <v>Jugador 2</v>
      </c>
      <c r="M54" s="6"/>
      <c r="N54" s="6" t="str">
        <f>D54</f>
        <v>Jugador 1</v>
      </c>
      <c r="O54" s="38" t="s">
        <v>9</v>
      </c>
      <c r="P54" s="6" t="str">
        <f t="shared" ref="P54:P55" si="30">D55</f>
        <v>Jugador 2</v>
      </c>
    </row>
    <row r="55" spans="2:16" ht="15.75" hidden="1" customHeight="1" x14ac:dyDescent="0.3">
      <c r="B55" s="43"/>
      <c r="C55" s="8">
        <f>(F56-H56)+(L56-J56)+(P56-N56)</f>
        <v>0</v>
      </c>
      <c r="D55" s="9" t="s">
        <v>17</v>
      </c>
      <c r="E55" s="9"/>
      <c r="F55" s="9" t="str">
        <f t="shared" si="28"/>
        <v>Jugador 2</v>
      </c>
      <c r="G55" s="39"/>
      <c r="H55" s="9" t="str">
        <f t="shared" si="29"/>
        <v>Jugador 4</v>
      </c>
      <c r="I55" s="9"/>
      <c r="J55" s="9" t="str">
        <f>D56</f>
        <v>Jugador 3</v>
      </c>
      <c r="K55" s="39"/>
      <c r="L55" s="9" t="str">
        <f>D57</f>
        <v>Jugador 4</v>
      </c>
      <c r="M55" s="9"/>
      <c r="N55" s="9" t="str">
        <f>D57</f>
        <v>Jugador 4</v>
      </c>
      <c r="O55" s="39"/>
      <c r="P55" s="9" t="str">
        <f t="shared" si="30"/>
        <v>Jugador 3</v>
      </c>
    </row>
    <row r="56" spans="2:16" ht="15.75" hidden="1" customHeight="1" x14ac:dyDescent="0.3">
      <c r="B56" s="43"/>
      <c r="C56" s="8">
        <f>(H56-F56)+(J56-L56)+(P56-N56)</f>
        <v>0</v>
      </c>
      <c r="D56" s="9" t="s">
        <v>18</v>
      </c>
      <c r="E56" s="9"/>
      <c r="F56" s="42"/>
      <c r="G56" s="9"/>
      <c r="H56" s="42"/>
      <c r="I56" s="9"/>
      <c r="J56" s="42"/>
      <c r="K56" s="9"/>
      <c r="L56" s="42"/>
      <c r="M56" s="9"/>
      <c r="N56" s="42"/>
      <c r="O56" s="9"/>
      <c r="P56" s="42"/>
    </row>
    <row r="57" spans="2:16" ht="15.75" hidden="1" customHeight="1" x14ac:dyDescent="0.3">
      <c r="B57" s="43"/>
      <c r="C57" s="8">
        <f>(H56-F56)+(L56-J56)+(N56-P56)</f>
        <v>0</v>
      </c>
      <c r="D57" s="9" t="s">
        <v>19</v>
      </c>
      <c r="E57" s="9"/>
      <c r="F57" s="39"/>
      <c r="G57" s="9"/>
      <c r="H57" s="39"/>
      <c r="I57" s="9"/>
      <c r="J57" s="39"/>
      <c r="K57" s="9"/>
      <c r="L57" s="39"/>
      <c r="M57" s="9"/>
      <c r="N57" s="39"/>
      <c r="O57" s="9"/>
      <c r="P57" s="39"/>
    </row>
    <row r="58" spans="2:16" ht="15.75" hidden="1" customHeight="1" x14ac:dyDescent="0.3">
      <c r="B58" s="39"/>
      <c r="C58" s="1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5.75" hidden="1" customHeight="1" x14ac:dyDescent="0.3"/>
    <row r="60" spans="2:16" ht="15.75" hidden="1" customHeight="1" x14ac:dyDescent="0.3"/>
    <row r="61" spans="2:16" ht="15.75" hidden="1" customHeight="1" x14ac:dyDescent="0.3">
      <c r="B61" s="42" t="s">
        <v>21</v>
      </c>
      <c r="C61" s="2" t="s">
        <v>2</v>
      </c>
      <c r="D61" s="2" t="s">
        <v>3</v>
      </c>
      <c r="E61" s="2"/>
      <c r="F61" s="2" t="s">
        <v>4</v>
      </c>
      <c r="G61" s="2"/>
      <c r="H61" s="2"/>
      <c r="I61" s="2"/>
      <c r="J61" s="2" t="s">
        <v>5</v>
      </c>
      <c r="K61" s="2"/>
      <c r="L61" s="2"/>
      <c r="M61" s="2"/>
      <c r="N61" s="2" t="s">
        <v>6</v>
      </c>
      <c r="O61" s="2"/>
      <c r="P61" s="3"/>
    </row>
    <row r="62" spans="2:16" ht="15.75" hidden="1" customHeight="1" x14ac:dyDescent="0.3">
      <c r="B62" s="43"/>
      <c r="C62" s="5">
        <f>(F64-H64)+(J64-L64)+(N64-P64)</f>
        <v>0</v>
      </c>
      <c r="D62" s="6" t="s">
        <v>16</v>
      </c>
      <c r="E62" s="6"/>
      <c r="F62" s="6" t="str">
        <f t="shared" ref="F62:F63" si="31">D62</f>
        <v>Jugador 1</v>
      </c>
      <c r="G62" s="38" t="s">
        <v>9</v>
      </c>
      <c r="H62" s="6" t="str">
        <f t="shared" ref="H62:H63" si="32">D64</f>
        <v>Jugador 3</v>
      </c>
      <c r="I62" s="6"/>
      <c r="J62" s="6" t="str">
        <f>D62</f>
        <v>Jugador 1</v>
      </c>
      <c r="K62" s="38" t="s">
        <v>9</v>
      </c>
      <c r="L62" s="6" t="str">
        <f>D63</f>
        <v>Jugador 2</v>
      </c>
      <c r="M62" s="6"/>
      <c r="N62" s="6" t="str">
        <f>D62</f>
        <v>Jugador 1</v>
      </c>
      <c r="O62" s="38" t="s">
        <v>9</v>
      </c>
      <c r="P62" s="6" t="str">
        <f t="shared" ref="P62:P63" si="33">D63</f>
        <v>Jugador 2</v>
      </c>
    </row>
    <row r="63" spans="2:16" ht="15.75" hidden="1" customHeight="1" x14ac:dyDescent="0.3">
      <c r="B63" s="43"/>
      <c r="C63" s="8">
        <f>(F64-H64)+(L64-J64)+(P64-N64)</f>
        <v>0</v>
      </c>
      <c r="D63" s="9" t="s">
        <v>17</v>
      </c>
      <c r="E63" s="9"/>
      <c r="F63" s="9" t="str">
        <f t="shared" si="31"/>
        <v>Jugador 2</v>
      </c>
      <c r="G63" s="39"/>
      <c r="H63" s="9" t="str">
        <f t="shared" si="32"/>
        <v>Jugador 4</v>
      </c>
      <c r="I63" s="9"/>
      <c r="J63" s="9" t="str">
        <f>D64</f>
        <v>Jugador 3</v>
      </c>
      <c r="K63" s="39"/>
      <c r="L63" s="9" t="str">
        <f>D65</f>
        <v>Jugador 4</v>
      </c>
      <c r="M63" s="9"/>
      <c r="N63" s="9" t="str">
        <f>D65</f>
        <v>Jugador 4</v>
      </c>
      <c r="O63" s="39"/>
      <c r="P63" s="9" t="str">
        <f t="shared" si="33"/>
        <v>Jugador 3</v>
      </c>
    </row>
    <row r="64" spans="2:16" ht="15.75" hidden="1" customHeight="1" x14ac:dyDescent="0.3">
      <c r="B64" s="43"/>
      <c r="C64" s="8">
        <f>(H64-F64)+(J64-L64)+(P64-N64)</f>
        <v>0</v>
      </c>
      <c r="D64" s="9" t="s">
        <v>18</v>
      </c>
      <c r="E64" s="9"/>
      <c r="F64" s="42"/>
      <c r="G64" s="9"/>
      <c r="H64" s="42"/>
      <c r="I64" s="9"/>
      <c r="J64" s="42"/>
      <c r="K64" s="9"/>
      <c r="L64" s="42"/>
      <c r="M64" s="9"/>
      <c r="N64" s="42"/>
      <c r="O64" s="9"/>
      <c r="P64" s="42"/>
    </row>
    <row r="65" spans="2:16" ht="15.75" hidden="1" customHeight="1" x14ac:dyDescent="0.3">
      <c r="B65" s="43"/>
      <c r="C65" s="8">
        <f>(H64-F64)+(L64-J64)+(N64-P64)</f>
        <v>0</v>
      </c>
      <c r="D65" s="9" t="s">
        <v>19</v>
      </c>
      <c r="E65" s="9"/>
      <c r="F65" s="39"/>
      <c r="G65" s="9"/>
      <c r="H65" s="39"/>
      <c r="I65" s="9"/>
      <c r="J65" s="39"/>
      <c r="K65" s="9"/>
      <c r="L65" s="39"/>
      <c r="M65" s="9"/>
      <c r="N65" s="39"/>
      <c r="O65" s="9"/>
      <c r="P65" s="39"/>
    </row>
    <row r="66" spans="2:16" ht="15.75" hidden="1" customHeight="1" x14ac:dyDescent="0.3">
      <c r="B66" s="39"/>
      <c r="C66" s="1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5.75" hidden="1" customHeight="1" x14ac:dyDescent="0.3"/>
    <row r="68" spans="2:16" ht="15.75" hidden="1" customHeight="1" x14ac:dyDescent="0.3"/>
    <row r="69" spans="2:16" ht="15.75" hidden="1" customHeight="1" x14ac:dyDescent="0.3"/>
    <row r="70" spans="2:16" ht="15.75" customHeight="1" x14ac:dyDescent="0.3">
      <c r="F70" s="1" t="s">
        <v>22</v>
      </c>
      <c r="G70" s="1">
        <v>2</v>
      </c>
    </row>
    <row r="71" spans="2:16" ht="15.75" customHeight="1" x14ac:dyDescent="0.3"/>
    <row r="72" spans="2:16" ht="15.75" customHeight="1" x14ac:dyDescent="0.3"/>
    <row r="73" spans="2:16" ht="15.75" customHeight="1" x14ac:dyDescent="0.3"/>
    <row r="74" spans="2:16" ht="15.75" customHeight="1" x14ac:dyDescent="0.3"/>
    <row r="75" spans="2:16" ht="15.75" customHeight="1" x14ac:dyDescent="0.3"/>
    <row r="76" spans="2:16" ht="15.75" customHeight="1" x14ac:dyDescent="0.3"/>
    <row r="77" spans="2:16" ht="15.75" customHeight="1" x14ac:dyDescent="0.3"/>
    <row r="78" spans="2:16" ht="15.75" customHeight="1" x14ac:dyDescent="0.3"/>
    <row r="79" spans="2:16" ht="15.75" customHeight="1" x14ac:dyDescent="0.3"/>
    <row r="80" spans="2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sortState xmlns:xlrd2="http://schemas.microsoft.com/office/spreadsheetml/2017/richdata2" ref="S4:U27">
    <sortCondition ref="S3:S27"/>
  </sortState>
  <mergeCells count="110">
    <mergeCell ref="S2:U2"/>
    <mergeCell ref="B3:B7"/>
    <mergeCell ref="F3:H3"/>
    <mergeCell ref="J3:L3"/>
    <mergeCell ref="N3:P3"/>
    <mergeCell ref="G4:G7"/>
    <mergeCell ref="K4:K7"/>
    <mergeCell ref="O4:O7"/>
    <mergeCell ref="F6:F7"/>
    <mergeCell ref="H6:H7"/>
    <mergeCell ref="J6:J7"/>
    <mergeCell ref="L6:L7"/>
    <mergeCell ref="N6:N7"/>
    <mergeCell ref="P6:P7"/>
    <mergeCell ref="B10:B14"/>
    <mergeCell ref="F10:H10"/>
    <mergeCell ref="J10:L10"/>
    <mergeCell ref="N10:P10"/>
    <mergeCell ref="G11:G14"/>
    <mergeCell ref="K11:K14"/>
    <mergeCell ref="P13:P14"/>
    <mergeCell ref="B17:B21"/>
    <mergeCell ref="F17:H17"/>
    <mergeCell ref="J17:L17"/>
    <mergeCell ref="N17:P17"/>
    <mergeCell ref="G18:G21"/>
    <mergeCell ref="K18:K21"/>
    <mergeCell ref="O18:O21"/>
    <mergeCell ref="F20:F21"/>
    <mergeCell ref="H20:H21"/>
    <mergeCell ref="O11:O14"/>
    <mergeCell ref="F13:F14"/>
    <mergeCell ref="H13:H14"/>
    <mergeCell ref="J13:J14"/>
    <mergeCell ref="L13:L14"/>
    <mergeCell ref="N13:N14"/>
    <mergeCell ref="J20:J21"/>
    <mergeCell ref="L20:L21"/>
    <mergeCell ref="N20:N21"/>
    <mergeCell ref="P20:P21"/>
    <mergeCell ref="B24:B28"/>
    <mergeCell ref="F24:H24"/>
    <mergeCell ref="J24:L24"/>
    <mergeCell ref="N24:P24"/>
    <mergeCell ref="G25:G28"/>
    <mergeCell ref="K25:K28"/>
    <mergeCell ref="P27:P28"/>
    <mergeCell ref="O25:O28"/>
    <mergeCell ref="F27:F28"/>
    <mergeCell ref="H27:H28"/>
    <mergeCell ref="J27:J28"/>
    <mergeCell ref="L27:L28"/>
    <mergeCell ref="N27:N28"/>
    <mergeCell ref="B31:B35"/>
    <mergeCell ref="F31:H31"/>
    <mergeCell ref="J31:L31"/>
    <mergeCell ref="N31:P31"/>
    <mergeCell ref="G32:G35"/>
    <mergeCell ref="K32:K35"/>
    <mergeCell ref="O32:O35"/>
    <mergeCell ref="F34:F35"/>
    <mergeCell ref="H34:H35"/>
    <mergeCell ref="J34:J35"/>
    <mergeCell ref="L34:L35"/>
    <mergeCell ref="N34:N35"/>
    <mergeCell ref="P34:P35"/>
    <mergeCell ref="B38:B42"/>
    <mergeCell ref="F38:H38"/>
    <mergeCell ref="J38:L38"/>
    <mergeCell ref="N38:P38"/>
    <mergeCell ref="G39:G42"/>
    <mergeCell ref="K39:K42"/>
    <mergeCell ref="G46:G47"/>
    <mergeCell ref="K46:K47"/>
    <mergeCell ref="O46:O47"/>
    <mergeCell ref="F48:F49"/>
    <mergeCell ref="H48:H49"/>
    <mergeCell ref="J48:J49"/>
    <mergeCell ref="L48:L49"/>
    <mergeCell ref="N48:N49"/>
    <mergeCell ref="O39:O42"/>
    <mergeCell ref="F41:F42"/>
    <mergeCell ref="H41:H42"/>
    <mergeCell ref="J41:J42"/>
    <mergeCell ref="L41:L42"/>
    <mergeCell ref="N41:N42"/>
    <mergeCell ref="P64:P65"/>
    <mergeCell ref="F1:H1"/>
    <mergeCell ref="P56:P57"/>
    <mergeCell ref="B61:B66"/>
    <mergeCell ref="G62:G63"/>
    <mergeCell ref="K62:K63"/>
    <mergeCell ref="O62:O63"/>
    <mergeCell ref="F64:F65"/>
    <mergeCell ref="H64:H65"/>
    <mergeCell ref="J64:J65"/>
    <mergeCell ref="L64:L65"/>
    <mergeCell ref="N64:N65"/>
    <mergeCell ref="P48:P49"/>
    <mergeCell ref="B53:B58"/>
    <mergeCell ref="G54:G55"/>
    <mergeCell ref="K54:K55"/>
    <mergeCell ref="O54:O55"/>
    <mergeCell ref="F56:F57"/>
    <mergeCell ref="H56:H57"/>
    <mergeCell ref="J56:J57"/>
    <mergeCell ref="L56:L57"/>
    <mergeCell ref="N56:N57"/>
    <mergeCell ref="P41:P42"/>
    <mergeCell ref="B45:B50"/>
  </mergeCells>
  <printOptions horizontalCentered="1" verticalCentered="1"/>
  <pageMargins left="0" right="0" top="0" bottom="0" header="0" footer="0"/>
  <pageSetup paperSize="5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4BF6-8369-4EDC-A3A1-19837C1FB226}">
  <sheetPr>
    <pageSetUpPr fitToPage="1"/>
  </sheetPr>
  <dimension ref="A1:U994"/>
  <sheetViews>
    <sheetView topLeftCell="I10" zoomScale="60" zoomScaleNormal="75" workbookViewId="0">
      <selection activeCell="S4" sqref="S4"/>
    </sheetView>
  </sheetViews>
  <sheetFormatPr baseColWidth="10" defaultColWidth="14.44140625" defaultRowHeight="15" customHeight="1" x14ac:dyDescent="0.3"/>
  <cols>
    <col min="1" max="3" width="10.6640625" customWidth="1"/>
    <col min="4" max="4" width="40.109375" bestFit="1" customWidth="1"/>
    <col min="5" max="5" width="5.88671875" customWidth="1"/>
    <col min="6" max="6" width="39.6640625" bestFit="1" customWidth="1"/>
    <col min="7" max="7" width="3.33203125" bestFit="1" customWidth="1"/>
    <col min="8" max="8" width="37.5546875" bestFit="1" customWidth="1"/>
    <col min="9" max="9" width="10.6640625" customWidth="1"/>
    <col min="10" max="10" width="36.33203125" bestFit="1" customWidth="1"/>
    <col min="11" max="11" width="3.33203125" bestFit="1" customWidth="1"/>
    <col min="12" max="12" width="40.109375" bestFit="1" customWidth="1"/>
    <col min="13" max="13" width="10.6640625" customWidth="1"/>
    <col min="14" max="14" width="37.6640625" bestFit="1" customWidth="1"/>
    <col min="15" max="15" width="3.33203125" bestFit="1" customWidth="1"/>
    <col min="16" max="16" width="39.6640625" bestFit="1" customWidth="1"/>
    <col min="17" max="17" width="2.6640625" customWidth="1"/>
    <col min="18" max="18" width="2" customWidth="1"/>
    <col min="19" max="19" width="9.5546875" customWidth="1"/>
    <col min="20" max="20" width="12.33203125" customWidth="1"/>
    <col min="21" max="21" width="33.5546875" customWidth="1"/>
    <col min="22" max="26" width="10.6640625" customWidth="1"/>
  </cols>
  <sheetData>
    <row r="1" spans="2:21" ht="38.25" customHeight="1" x14ac:dyDescent="0.3">
      <c r="F1" s="57" t="s">
        <v>54</v>
      </c>
      <c r="G1" s="57"/>
      <c r="H1" s="57"/>
    </row>
    <row r="2" spans="2:21" thickBot="1" x14ac:dyDescent="0.35">
      <c r="S2" s="55" t="s">
        <v>23</v>
      </c>
      <c r="T2" s="56"/>
      <c r="U2" s="56"/>
    </row>
    <row r="3" spans="2:21" thickBot="1" x14ac:dyDescent="0.35">
      <c r="B3" s="52" t="s">
        <v>46</v>
      </c>
      <c r="C3" s="2" t="s">
        <v>2</v>
      </c>
      <c r="D3" s="2" t="s">
        <v>3</v>
      </c>
      <c r="E3" s="2"/>
      <c r="F3" s="44" t="s">
        <v>4</v>
      </c>
      <c r="G3" s="45"/>
      <c r="H3" s="46"/>
      <c r="I3" s="33"/>
      <c r="J3" s="44" t="s">
        <v>5</v>
      </c>
      <c r="K3" s="45"/>
      <c r="L3" s="46"/>
      <c r="M3" s="2"/>
      <c r="N3" s="44" t="s">
        <v>6</v>
      </c>
      <c r="O3" s="45"/>
      <c r="P3" s="46"/>
      <c r="S3" s="1" t="s">
        <v>8</v>
      </c>
      <c r="T3" s="1" t="s">
        <v>2</v>
      </c>
      <c r="U3" s="1" t="s">
        <v>3</v>
      </c>
    </row>
    <row r="4" spans="2:21" ht="15.6" x14ac:dyDescent="0.3">
      <c r="B4" s="53"/>
      <c r="C4" s="5">
        <f>(F6-H6)+(J6-L6)+(N6-P6)</f>
        <v>0</v>
      </c>
      <c r="D4" s="6" t="str">
        <f>INDEX('Jornada 2 (1)'!D$4:D$7, MATCH(1,'Jornada 2 (1)'!E$4:E$7,0))</f>
        <v>MAURICIO ALEJANDRO BAUTISTA</v>
      </c>
      <c r="E4" s="17">
        <f t="shared" ref="E4:E7" si="0">COUNTIF(C$4:C$7,"&gt;"&amp;C4)+COUNTIF($C$4:C4,C4)</f>
        <v>1</v>
      </c>
      <c r="F4" s="20" t="str">
        <f t="shared" ref="F4:F5" si="1">D4</f>
        <v>MAURICIO ALEJANDRO BAUTISTA</v>
      </c>
      <c r="G4" s="48" t="s">
        <v>9</v>
      </c>
      <c r="H4" s="21" t="str">
        <f t="shared" ref="H4:H5" si="2">D6</f>
        <v>IAN DE LA BARQUERA</v>
      </c>
      <c r="I4" s="34"/>
      <c r="J4" s="20" t="str">
        <f>D4</f>
        <v>MAURICIO ALEJANDRO BAUTISTA</v>
      </c>
      <c r="K4" s="48" t="s">
        <v>9</v>
      </c>
      <c r="L4" s="21" t="str">
        <f>D5</f>
        <v>MARIANO GOMEZ VUILLEUMIER</v>
      </c>
      <c r="M4" s="27"/>
      <c r="N4" s="20" t="str">
        <f>D4</f>
        <v>MAURICIO ALEJANDRO BAUTISTA</v>
      </c>
      <c r="O4" s="48" t="s">
        <v>9</v>
      </c>
      <c r="P4" s="21" t="str">
        <f t="shared" ref="P4:P5" si="3">D5</f>
        <v>MARIANO GOMEZ VUILLEUMIER</v>
      </c>
      <c r="R4" s="7"/>
      <c r="S4" s="7">
        <f t="shared" ref="S4:S27" si="4">COUNTIF(T$4:T$27,"&gt;"&amp;T4)+1</f>
        <v>1</v>
      </c>
      <c r="T4" s="7">
        <f>$C$4</f>
        <v>0</v>
      </c>
      <c r="U4" s="32" t="str">
        <f>$D$4</f>
        <v>MAURICIO ALEJANDRO BAUTISTA</v>
      </c>
    </row>
    <row r="5" spans="2:21" ht="15.6" x14ac:dyDescent="0.3">
      <c r="B5" s="53"/>
      <c r="C5" s="8">
        <f>(F6-H6)+(L6-J6)+(P6-N6)</f>
        <v>0</v>
      </c>
      <c r="D5" s="6" t="str">
        <f>INDEX('Jornada 2 (1)'!D$4:D$7, MATCH(2,'Jornada 2 (1)'!E$4:E$7,0))</f>
        <v>MARIANO GOMEZ VUILLEUMIER</v>
      </c>
      <c r="E5" s="17">
        <f t="shared" si="0"/>
        <v>2</v>
      </c>
      <c r="F5" s="22" t="str">
        <f t="shared" si="1"/>
        <v>MARIANO GOMEZ VUILLEUMIER</v>
      </c>
      <c r="G5" s="38"/>
      <c r="H5" s="23" t="str">
        <f t="shared" si="2"/>
        <v>ELISA CAROLINA DIAZ LAGUNA</v>
      </c>
      <c r="I5" s="34"/>
      <c r="J5" s="22" t="str">
        <f>D6</f>
        <v>IAN DE LA BARQUERA</v>
      </c>
      <c r="K5" s="38"/>
      <c r="L5" s="23" t="str">
        <f>D7</f>
        <v>ELISA CAROLINA DIAZ LAGUNA</v>
      </c>
      <c r="M5" s="28"/>
      <c r="N5" s="22" t="str">
        <f>D7</f>
        <v>ELISA CAROLINA DIAZ LAGUNA</v>
      </c>
      <c r="O5" s="38"/>
      <c r="P5" s="23" t="str">
        <f t="shared" si="3"/>
        <v>IAN DE LA BARQUERA</v>
      </c>
      <c r="R5" s="7"/>
      <c r="S5" s="7">
        <f t="shared" si="4"/>
        <v>1</v>
      </c>
      <c r="T5" s="7">
        <f>$C$11</f>
        <v>0</v>
      </c>
      <c r="U5" s="32" t="str">
        <f>$D$11</f>
        <v xml:space="preserve">NICOLAS MAXIMILIANO BRILL HERRERA </v>
      </c>
    </row>
    <row r="6" spans="2:21" ht="15.6" x14ac:dyDescent="0.3">
      <c r="B6" s="53"/>
      <c r="C6" s="8">
        <f>(H6-F6)+(J6-L6)+(P6-N6)</f>
        <v>0</v>
      </c>
      <c r="D6" s="6" t="str">
        <f>IF('Jornada 2 (1)'!G70=1,INDEX('Jornada 2 (1)'!D$4:D$7,MATCH(3,'Jornada 2 (1)'!E$4:E$7,0)),INDEX('Jornada 2 (1)'!D$11:D$14,MATCH(1,'Jornada 2 (1)'!E$11:E$14,0)))</f>
        <v>IAN DE LA BARQUERA</v>
      </c>
      <c r="E6" s="17">
        <f t="shared" si="0"/>
        <v>3</v>
      </c>
      <c r="F6" s="40"/>
      <c r="G6" s="38"/>
      <c r="H6" s="36"/>
      <c r="I6" s="34"/>
      <c r="J6" s="40"/>
      <c r="K6" s="38"/>
      <c r="L6" s="36"/>
      <c r="M6" s="28"/>
      <c r="N6" s="40"/>
      <c r="O6" s="38"/>
      <c r="P6" s="36"/>
      <c r="R6" s="7"/>
      <c r="S6" s="7">
        <f t="shared" si="4"/>
        <v>1</v>
      </c>
      <c r="T6" s="7">
        <f>$C$28</f>
        <v>0</v>
      </c>
      <c r="U6" s="32" t="str">
        <f>$D$28</f>
        <v>ESTEFANO ROLANDO BECERRA HERNANDEZ</v>
      </c>
    </row>
    <row r="7" spans="2:21" ht="16.2" thickBot="1" x14ac:dyDescent="0.35">
      <c r="B7" s="53"/>
      <c r="C7" s="8">
        <f>(H6-F6)+(L6-J6)+(N6-P6)</f>
        <v>0</v>
      </c>
      <c r="D7" s="6" t="str">
        <f>IF('Jornada 2 (1)'!G70=1,INDEX('Jornada 2 (1)'!D$11:D$14,MATCH(1,'Jornada 2 (1)'!E$11:E$14,0)),INDEX('Jornada 2 (1)'!D$11:D$14,MATCH(2,'Jornada 2 (1)'!E$11:E$14,0)))</f>
        <v>ELISA CAROLINA DIAZ LAGUNA</v>
      </c>
      <c r="E7" s="17">
        <f t="shared" si="0"/>
        <v>4</v>
      </c>
      <c r="F7" s="50"/>
      <c r="G7" s="49"/>
      <c r="H7" s="47"/>
      <c r="I7" s="34"/>
      <c r="J7" s="50"/>
      <c r="K7" s="49"/>
      <c r="L7" s="47"/>
      <c r="M7" s="28"/>
      <c r="N7" s="50"/>
      <c r="O7" s="49"/>
      <c r="P7" s="47"/>
      <c r="R7" s="7"/>
      <c r="S7" s="7">
        <f t="shared" si="4"/>
        <v>1</v>
      </c>
      <c r="T7" s="7">
        <f>$C$18</f>
        <v>0</v>
      </c>
      <c r="U7" s="32" t="str">
        <f>$D$18</f>
        <v xml:space="preserve">JESUS ANTONIO SEPULVEDA RODRIGUEZ </v>
      </c>
    </row>
    <row r="8" spans="2:21" ht="15.6" x14ac:dyDescent="0.3">
      <c r="B8" s="35"/>
      <c r="R8" s="7"/>
      <c r="S8" s="7">
        <f t="shared" si="4"/>
        <v>1</v>
      </c>
      <c r="T8" s="7">
        <f>$C$40</f>
        <v>0</v>
      </c>
      <c r="U8" s="32" t="str">
        <f>$D$40</f>
        <v>ALBERTO ROBLES ARMENTA</v>
      </c>
    </row>
    <row r="9" spans="2:21" ht="16.2" thickBot="1" x14ac:dyDescent="0.35">
      <c r="R9" s="7"/>
      <c r="S9" s="7">
        <f t="shared" si="4"/>
        <v>1</v>
      </c>
      <c r="T9" s="7">
        <f>$C$32</f>
        <v>0</v>
      </c>
      <c r="U9" s="32" t="str">
        <f>$D$32</f>
        <v>CAMILO RODRIGUEZ PACHECO</v>
      </c>
    </row>
    <row r="10" spans="2:21" ht="16.2" thickBot="1" x14ac:dyDescent="0.35">
      <c r="B10" s="52" t="s">
        <v>47</v>
      </c>
      <c r="C10" s="2" t="s">
        <v>2</v>
      </c>
      <c r="D10" s="2" t="s">
        <v>3</v>
      </c>
      <c r="E10" s="2"/>
      <c r="F10" s="44" t="s">
        <v>4</v>
      </c>
      <c r="G10" s="45"/>
      <c r="H10" s="46"/>
      <c r="I10" s="33"/>
      <c r="J10" s="44" t="s">
        <v>5</v>
      </c>
      <c r="K10" s="45"/>
      <c r="L10" s="46"/>
      <c r="M10" s="2"/>
      <c r="N10" s="44" t="s">
        <v>6</v>
      </c>
      <c r="O10" s="45"/>
      <c r="P10" s="46"/>
      <c r="R10" s="7"/>
      <c r="S10" s="7">
        <f t="shared" si="4"/>
        <v>1</v>
      </c>
      <c r="T10" s="7">
        <f>$C$34</f>
        <v>0</v>
      </c>
      <c r="U10" s="32" t="str">
        <f>$D$34</f>
        <v>LEO LUCERO KOLB</v>
      </c>
    </row>
    <row r="11" spans="2:21" ht="15.6" x14ac:dyDescent="0.3">
      <c r="B11" s="53"/>
      <c r="C11" s="5">
        <f>(F13-H13)+(J13-L13)+(N13-P13)</f>
        <v>0</v>
      </c>
      <c r="D11" s="6" t="str">
        <f>IF('Jornada 2 (1)'!G$70=1,INDEX('Jornada 2 (1)'!D$4:D$7,MATCH(4,'Jornada 2 (1)'!E$4:E$7,0)),INDEX('Jornada 2 (1)'!D$4:D$7,MATCH(3,'Jornada 2 (1)'!E$4:E$7,0)))</f>
        <v xml:space="preserve">NICOLAS MAXIMILIANO BRILL HERRERA </v>
      </c>
      <c r="E11" s="17">
        <f t="shared" ref="E11:E14" si="5">COUNTIF(C$11:C$14,"&gt;"&amp;C11)+COUNTIF($C$11:C11,C11)</f>
        <v>1</v>
      </c>
      <c r="F11" s="20" t="str">
        <f t="shared" ref="F11:F12" si="6">D11</f>
        <v xml:space="preserve">NICOLAS MAXIMILIANO BRILL HERRERA </v>
      </c>
      <c r="G11" s="48" t="s">
        <v>9</v>
      </c>
      <c r="H11" s="21" t="str">
        <f t="shared" ref="H11:H12" si="7">D13</f>
        <v xml:space="preserve">IKER FRANCISCO NORIEGA JIMENEZ </v>
      </c>
      <c r="I11" s="34"/>
      <c r="J11" s="20" t="str">
        <f>D11</f>
        <v xml:space="preserve">NICOLAS MAXIMILIANO BRILL HERRERA </v>
      </c>
      <c r="K11" s="48" t="s">
        <v>9</v>
      </c>
      <c r="L11" s="21" t="str">
        <f>D12</f>
        <v>MARIANO NAVARRO LEAÑO</v>
      </c>
      <c r="M11" s="27"/>
      <c r="N11" s="20" t="str">
        <f>D11</f>
        <v xml:space="preserve">NICOLAS MAXIMILIANO BRILL HERRERA </v>
      </c>
      <c r="O11" s="48" t="s">
        <v>9</v>
      </c>
      <c r="P11" s="21" t="str">
        <f t="shared" ref="P11:P12" si="8">D12</f>
        <v>MARIANO NAVARRO LEAÑO</v>
      </c>
      <c r="R11" s="7"/>
      <c r="S11" s="7">
        <f t="shared" si="4"/>
        <v>1</v>
      </c>
      <c r="T11" s="7">
        <f>$C$39</f>
        <v>0</v>
      </c>
      <c r="U11" s="32" t="str">
        <f>$D$39</f>
        <v>JOSUÉ SANTIAGO PÉREZ MEDINA</v>
      </c>
    </row>
    <row r="12" spans="2:21" ht="15.6" x14ac:dyDescent="0.3">
      <c r="B12" s="53"/>
      <c r="C12" s="8">
        <f>(F13-H13)+(L13-J13)+(P13-N13)</f>
        <v>0</v>
      </c>
      <c r="D12" s="9" t="str">
        <f>IF('Jornada 2 (1)'!G$70=1,INDEX('Jornada 2 (1)'!D$11:D$14,MATCH(2,'Jornada 2 (1)'!E$11:E$14,0)),INDEX('Jornada 2 (1)'!D$4:D$7,MATCH(4,'Jornada 2 (1)'!E$4:E$7,0)))</f>
        <v>MARIANO NAVARRO LEAÑO</v>
      </c>
      <c r="E12" s="17">
        <f t="shared" si="5"/>
        <v>2</v>
      </c>
      <c r="F12" s="22" t="str">
        <f t="shared" si="6"/>
        <v>MARIANO NAVARRO LEAÑO</v>
      </c>
      <c r="G12" s="38"/>
      <c r="H12" s="23" t="str">
        <f t="shared" si="7"/>
        <v>DIEGO PATRICIO FERNANDEZ VIERA</v>
      </c>
      <c r="I12" s="34"/>
      <c r="J12" s="22" t="str">
        <f>D13</f>
        <v xml:space="preserve">IKER FRANCISCO NORIEGA JIMENEZ </v>
      </c>
      <c r="K12" s="38"/>
      <c r="L12" s="23" t="str">
        <f>D14</f>
        <v>DIEGO PATRICIO FERNANDEZ VIERA</v>
      </c>
      <c r="M12" s="28"/>
      <c r="N12" s="22" t="str">
        <f>D14</f>
        <v>DIEGO PATRICIO FERNANDEZ VIERA</v>
      </c>
      <c r="O12" s="38"/>
      <c r="P12" s="23" t="str">
        <f t="shared" si="8"/>
        <v xml:space="preserve">IKER FRANCISCO NORIEGA JIMENEZ </v>
      </c>
      <c r="R12" s="7"/>
      <c r="S12" s="7">
        <f t="shared" si="4"/>
        <v>1</v>
      </c>
      <c r="T12" s="7">
        <f>$C$41</f>
        <v>0</v>
      </c>
      <c r="U12" s="32" t="str">
        <f>$D$41</f>
        <v>ADRIANA ESPINOZA SALDAÑA</v>
      </c>
    </row>
    <row r="13" spans="2:21" ht="15.6" x14ac:dyDescent="0.3">
      <c r="B13" s="53"/>
      <c r="C13" s="8">
        <f>(H13-F13)+(J13-L13)+(P13-N13)</f>
        <v>0</v>
      </c>
      <c r="D13" s="9" t="str">
        <f>IF('Jornada 2 (1)'!G$70=1,INDEX('Jornada 2 (1)'!D$11:D$14,MATCH(3,'Jornada 2 (1)'!E$11:E$14,0)),INDEX('Jornada 2 (1)'!D$18:D$21,MATCH(1,'Jornada 2 (1)'!E$18:E$21,0)))</f>
        <v xml:space="preserve">IKER FRANCISCO NORIEGA JIMENEZ </v>
      </c>
      <c r="E13" s="17">
        <f t="shared" si="5"/>
        <v>3</v>
      </c>
      <c r="F13" s="40"/>
      <c r="G13" s="38"/>
      <c r="H13" s="36"/>
      <c r="I13" s="34"/>
      <c r="J13" s="40"/>
      <c r="K13" s="38"/>
      <c r="L13" s="36"/>
      <c r="M13" s="28"/>
      <c r="N13" s="40"/>
      <c r="O13" s="38"/>
      <c r="P13" s="36"/>
      <c r="R13" s="7"/>
      <c r="S13" s="7">
        <f t="shared" si="4"/>
        <v>1</v>
      </c>
      <c r="T13" s="7">
        <f>$C$33</f>
        <v>0</v>
      </c>
      <c r="U13" s="32" t="str">
        <f>$D$33</f>
        <v>ALEJANDRO CAMARENA LOPEZ</v>
      </c>
    </row>
    <row r="14" spans="2:21" ht="16.2" thickBot="1" x14ac:dyDescent="0.35">
      <c r="B14" s="54"/>
      <c r="C14" s="8">
        <f>(H13-F13)+(L13-J13)+(N13-P13)</f>
        <v>0</v>
      </c>
      <c r="D14" s="9" t="str">
        <f>IF('Jornada 2 (1)'!G$70=1,INDEX('Jornada 2 (1)'!D$18:D$21,MATCH(1,'Jornada 2 (1)'!E$18:E$21,0)),INDEX('Jornada 2 (1)'!D$18:D$21,MATCH(2,'Jornada 2 (1)'!E$18:E$21,0)))</f>
        <v>DIEGO PATRICIO FERNANDEZ VIERA</v>
      </c>
      <c r="E14" s="17">
        <f t="shared" si="5"/>
        <v>4</v>
      </c>
      <c r="F14" s="50"/>
      <c r="G14" s="49"/>
      <c r="H14" s="47"/>
      <c r="I14" s="34"/>
      <c r="J14" s="50"/>
      <c r="K14" s="49"/>
      <c r="L14" s="47"/>
      <c r="M14" s="28"/>
      <c r="N14" s="50"/>
      <c r="O14" s="49"/>
      <c r="P14" s="47"/>
      <c r="R14" s="7"/>
      <c r="S14" s="7">
        <f t="shared" si="4"/>
        <v>1</v>
      </c>
      <c r="T14" s="7">
        <f>$C$20</f>
        <v>0</v>
      </c>
      <c r="U14" s="32" t="str">
        <f>$D$20</f>
        <v>MAURICIO LOZANO CASTILLERO</v>
      </c>
    </row>
    <row r="15" spans="2:21" ht="15.6" x14ac:dyDescent="0.3">
      <c r="R15" s="7"/>
      <c r="S15" s="7">
        <f t="shared" si="4"/>
        <v>1</v>
      </c>
      <c r="T15" s="7">
        <f>$C$12</f>
        <v>0</v>
      </c>
      <c r="U15" s="32" t="str">
        <f>$D$12</f>
        <v>MARIANO NAVARRO LEAÑO</v>
      </c>
    </row>
    <row r="16" spans="2:21" ht="16.2" thickBot="1" x14ac:dyDescent="0.35">
      <c r="R16" s="7"/>
      <c r="S16" s="7">
        <f t="shared" si="4"/>
        <v>1</v>
      </c>
      <c r="T16" s="7">
        <f>$C$27</f>
        <v>0</v>
      </c>
      <c r="U16" s="32" t="str">
        <f>$D$27</f>
        <v>MAXIMILIANO HERNÁNDEZ OROZCO</v>
      </c>
    </row>
    <row r="17" spans="2:21" ht="16.2" thickBot="1" x14ac:dyDescent="0.35">
      <c r="B17" s="52" t="s">
        <v>48</v>
      </c>
      <c r="C17" s="2" t="s">
        <v>2</v>
      </c>
      <c r="D17" s="2" t="s">
        <v>3</v>
      </c>
      <c r="E17" s="2"/>
      <c r="F17" s="44" t="s">
        <v>4</v>
      </c>
      <c r="G17" s="45"/>
      <c r="H17" s="46"/>
      <c r="I17" s="33"/>
      <c r="J17" s="44" t="s">
        <v>5</v>
      </c>
      <c r="K17" s="45"/>
      <c r="L17" s="46"/>
      <c r="M17" s="2"/>
      <c r="N17" s="44" t="s">
        <v>6</v>
      </c>
      <c r="O17" s="45"/>
      <c r="P17" s="46"/>
      <c r="R17" s="7"/>
      <c r="S17" s="7">
        <f t="shared" si="4"/>
        <v>1</v>
      </c>
      <c r="T17" s="7">
        <f>$C$5</f>
        <v>0</v>
      </c>
      <c r="U17" s="32" t="str">
        <f>$D$5</f>
        <v>MARIANO GOMEZ VUILLEUMIER</v>
      </c>
    </row>
    <row r="18" spans="2:21" ht="15.6" x14ac:dyDescent="0.3">
      <c r="B18" s="53"/>
      <c r="C18" s="5">
        <f>(F20-H20)+(J20-L20)+(N20-P20)</f>
        <v>0</v>
      </c>
      <c r="D18" s="6" t="str">
        <f>IF('Jornada 2 (1)'!G$70=1,INDEX('Jornada 2 (1)'!D$11:D$14,MATCH(4,'Jornada 2 (1)'!E$11:E$14,0)),INDEX('Jornada 2 (1)'!D$11:D$14,MATCH(3,'Jornada 2 (1)'!E$11:E$14,0)))</f>
        <v xml:space="preserve">JESUS ANTONIO SEPULVEDA RODRIGUEZ </v>
      </c>
      <c r="E18" s="17">
        <f t="shared" ref="E18:E21" si="9">COUNTIF(C$18:C$21,"&gt;"&amp;C18)+COUNTIF($C$18:C18,C18)</f>
        <v>1</v>
      </c>
      <c r="F18" s="20" t="str">
        <f t="shared" ref="F18:F19" si="10">D18</f>
        <v xml:space="preserve">JESUS ANTONIO SEPULVEDA RODRIGUEZ </v>
      </c>
      <c r="G18" s="48" t="s">
        <v>9</v>
      </c>
      <c r="H18" s="21" t="str">
        <f t="shared" ref="H18:H19" si="11">D20</f>
        <v>MAURICIO LOZANO CASTILLERO</v>
      </c>
      <c r="I18" s="34"/>
      <c r="J18" s="20" t="str">
        <f>D18</f>
        <v xml:space="preserve">JESUS ANTONIO SEPULVEDA RODRIGUEZ </v>
      </c>
      <c r="K18" s="48" t="s">
        <v>9</v>
      </c>
      <c r="L18" s="21" t="str">
        <f>D19</f>
        <v xml:space="preserve">ALONSO CISNEROS SANCHEZ </v>
      </c>
      <c r="M18" s="27"/>
      <c r="N18" s="20" t="str">
        <f>D18</f>
        <v xml:space="preserve">JESUS ANTONIO SEPULVEDA RODRIGUEZ </v>
      </c>
      <c r="O18" s="48" t="s">
        <v>9</v>
      </c>
      <c r="P18" s="21" t="str">
        <f t="shared" ref="P18:P19" si="12">D19</f>
        <v xml:space="preserve">ALONSO CISNEROS SANCHEZ </v>
      </c>
      <c r="R18" s="7"/>
      <c r="S18" s="7">
        <f t="shared" si="4"/>
        <v>1</v>
      </c>
      <c r="T18" s="7">
        <f>$C$6</f>
        <v>0</v>
      </c>
      <c r="U18" s="32" t="str">
        <f>$D$6</f>
        <v>IAN DE LA BARQUERA</v>
      </c>
    </row>
    <row r="19" spans="2:21" ht="15.75" customHeight="1" x14ac:dyDescent="0.3">
      <c r="B19" s="53"/>
      <c r="C19" s="8">
        <f>(F20-H20)+(L20-J20)+(P20-N20)</f>
        <v>0</v>
      </c>
      <c r="D19" s="9" t="str">
        <f>IF('Jornada 2 (1)'!G$70=1,INDEX('Jornada 2 (1)'!D$18:D$21,MATCH(2,'Jornada 2 (1)'!E$18:E$21,0)),INDEX('Jornada 2 (1)'!D$11:D$14,MATCH(4,'Jornada 2 (1)'!E$11:E$14,0)))</f>
        <v xml:space="preserve">ALONSO CISNEROS SANCHEZ </v>
      </c>
      <c r="E19" s="17">
        <f t="shared" si="9"/>
        <v>2</v>
      </c>
      <c r="F19" s="22" t="str">
        <f t="shared" si="10"/>
        <v xml:space="preserve">ALONSO CISNEROS SANCHEZ </v>
      </c>
      <c r="G19" s="38"/>
      <c r="H19" s="23" t="str">
        <f t="shared" si="11"/>
        <v>JOSE EMILIANO VAZQUEZ NUÑO</v>
      </c>
      <c r="I19" s="34"/>
      <c r="J19" s="22" t="str">
        <f>D20</f>
        <v>MAURICIO LOZANO CASTILLERO</v>
      </c>
      <c r="K19" s="38"/>
      <c r="L19" s="23" t="str">
        <f>D21</f>
        <v>JOSE EMILIANO VAZQUEZ NUÑO</v>
      </c>
      <c r="M19" s="28"/>
      <c r="N19" s="22" t="str">
        <f>D21</f>
        <v>JOSE EMILIANO VAZQUEZ NUÑO</v>
      </c>
      <c r="O19" s="38"/>
      <c r="P19" s="23" t="str">
        <f t="shared" si="12"/>
        <v>MAURICIO LOZANO CASTILLERO</v>
      </c>
      <c r="R19" s="7"/>
      <c r="S19" s="7">
        <f t="shared" si="4"/>
        <v>1</v>
      </c>
      <c r="T19" s="7">
        <f>$C$14</f>
        <v>0</v>
      </c>
      <c r="U19" s="32" t="str">
        <f>$D$14</f>
        <v>DIEGO PATRICIO FERNANDEZ VIERA</v>
      </c>
    </row>
    <row r="20" spans="2:21" ht="15.75" customHeight="1" x14ac:dyDescent="0.3">
      <c r="B20" s="53"/>
      <c r="C20" s="8">
        <f>(H20-F20)+(J20-L20)+(P20-N20)</f>
        <v>0</v>
      </c>
      <c r="D20" s="9" t="str">
        <f>IF('Jornada 2 (1)'!G$70=1,INDEX('Jornada 2 (1)'!D$18:D$21,MATCH(3,'Jornada 2 (1)'!E$18:E$21,0)),INDEX('Jornada 2 (1)'!D$25:D$28,MATCH(1,'Jornada 2 (1)'!E$25:E$28,0)))</f>
        <v>MAURICIO LOZANO CASTILLERO</v>
      </c>
      <c r="E20" s="17">
        <f t="shared" si="9"/>
        <v>3</v>
      </c>
      <c r="F20" s="40"/>
      <c r="G20" s="38"/>
      <c r="H20" s="36"/>
      <c r="I20" s="34"/>
      <c r="J20" s="40"/>
      <c r="K20" s="38"/>
      <c r="L20" s="36"/>
      <c r="M20" s="28"/>
      <c r="N20" s="40"/>
      <c r="O20" s="38"/>
      <c r="P20" s="36"/>
      <c r="R20" s="7"/>
      <c r="S20" s="7">
        <f t="shared" si="4"/>
        <v>1</v>
      </c>
      <c r="T20" s="7">
        <f>$C$26</f>
        <v>0</v>
      </c>
      <c r="U20" s="32" t="str">
        <f>$D$26</f>
        <v>MIGUEL ALCARAZ AMEZCUA</v>
      </c>
    </row>
    <row r="21" spans="2:21" ht="15.75" customHeight="1" thickBot="1" x14ac:dyDescent="0.35">
      <c r="B21" s="54"/>
      <c r="C21" s="8">
        <f>(H20-F20)+(L20-J20)+(N20-P20)</f>
        <v>0</v>
      </c>
      <c r="D21" s="9" t="str">
        <f>IF('Jornada 2 (1)'!G$70=1,INDEX('Jornada 2 (1)'!D$25:D$28,MATCH(1,'Jornada 2 (1)'!E$25:E$28,0)),INDEX('Jornada 2 (1)'!D$25:D$28,MATCH(2,'Jornada 2 (1)'!E$25:E$28,0)))</f>
        <v>JOSE EMILIANO VAZQUEZ NUÑO</v>
      </c>
      <c r="E21" s="17">
        <f t="shared" si="9"/>
        <v>4</v>
      </c>
      <c r="F21" s="50"/>
      <c r="G21" s="49"/>
      <c r="H21" s="47"/>
      <c r="I21" s="34"/>
      <c r="J21" s="50"/>
      <c r="K21" s="49"/>
      <c r="L21" s="47"/>
      <c r="M21" s="28"/>
      <c r="N21" s="50"/>
      <c r="O21" s="49"/>
      <c r="P21" s="47"/>
      <c r="R21" s="7"/>
      <c r="S21" s="7">
        <f t="shared" si="4"/>
        <v>1</v>
      </c>
      <c r="T21" s="7">
        <f>$C$19</f>
        <v>0</v>
      </c>
      <c r="U21" s="32" t="str">
        <f>$D$19</f>
        <v xml:space="preserve">ALONSO CISNEROS SANCHEZ </v>
      </c>
    </row>
    <row r="22" spans="2:21" ht="15.75" customHeight="1" x14ac:dyDescent="0.3">
      <c r="R22" s="7"/>
      <c r="S22" s="7">
        <f t="shared" si="4"/>
        <v>1</v>
      </c>
      <c r="T22" s="7">
        <f>$C$21</f>
        <v>0</v>
      </c>
      <c r="U22" s="32" t="str">
        <f>$D$21</f>
        <v>JOSE EMILIANO VAZQUEZ NUÑO</v>
      </c>
    </row>
    <row r="23" spans="2:21" ht="15.75" customHeight="1" thickBot="1" x14ac:dyDescent="0.35">
      <c r="R23" s="7"/>
      <c r="S23" s="7">
        <f t="shared" si="4"/>
        <v>1</v>
      </c>
      <c r="T23" s="7">
        <f>$C$7</f>
        <v>0</v>
      </c>
      <c r="U23" s="32" t="str">
        <f>$D$7</f>
        <v>ELISA CAROLINA DIAZ LAGUNA</v>
      </c>
    </row>
    <row r="24" spans="2:21" ht="15.75" customHeight="1" thickBot="1" x14ac:dyDescent="0.35">
      <c r="B24" s="52" t="s">
        <v>49</v>
      </c>
      <c r="C24" s="2" t="s">
        <v>2</v>
      </c>
      <c r="D24" s="2" t="s">
        <v>3</v>
      </c>
      <c r="E24" s="2"/>
      <c r="F24" s="44" t="s">
        <v>4</v>
      </c>
      <c r="G24" s="45"/>
      <c r="H24" s="46"/>
      <c r="I24" s="33"/>
      <c r="J24" s="44" t="s">
        <v>5</v>
      </c>
      <c r="K24" s="45"/>
      <c r="L24" s="46"/>
      <c r="M24" s="2"/>
      <c r="N24" s="44" t="s">
        <v>6</v>
      </c>
      <c r="O24" s="45"/>
      <c r="P24" s="46"/>
      <c r="R24" s="7"/>
      <c r="S24" s="7">
        <f t="shared" si="4"/>
        <v>1</v>
      </c>
      <c r="T24" s="7">
        <f>$C$13</f>
        <v>0</v>
      </c>
      <c r="U24" s="32" t="str">
        <f>$D$13</f>
        <v xml:space="preserve">IKER FRANCISCO NORIEGA JIMENEZ </v>
      </c>
    </row>
    <row r="25" spans="2:21" ht="15.75" customHeight="1" x14ac:dyDescent="0.3">
      <c r="B25" s="53"/>
      <c r="C25" s="5">
        <f>(F27-H27)+(J27-L27)+(N27-P27)</f>
        <v>0</v>
      </c>
      <c r="D25" s="6" t="str">
        <f>IF('Jornada 2 (1)'!G$70=1,INDEX('Jornada 2 (1)'!D$18:D$21,MATCH(4,'Jornada 2 (1)'!E$18:E$21,0)),INDEX('Jornada 2 (1)'!D$18:D$21,MATCH(3,'Jornada 2 (1)'!E$18:E$21,0)))</f>
        <v>EMILIO MATEO OLIVARES CORTÉS</v>
      </c>
      <c r="E25" s="17">
        <f t="shared" ref="E25:E28" si="13">COUNTIF(C$25:C$28,"&gt;"&amp;C25)+COUNTIF($C$25:C25,C25)</f>
        <v>1</v>
      </c>
      <c r="F25" s="20" t="str">
        <f t="shared" ref="F25:F26" si="14">D25</f>
        <v>EMILIO MATEO OLIVARES CORTÉS</v>
      </c>
      <c r="G25" s="48" t="s">
        <v>9</v>
      </c>
      <c r="H25" s="21" t="str">
        <f t="shared" ref="H25" si="15">D27</f>
        <v>MAXIMILIANO HERNÁNDEZ OROZCO</v>
      </c>
      <c r="I25" s="34"/>
      <c r="J25" s="20" t="str">
        <f>D25</f>
        <v>EMILIO MATEO OLIVARES CORTÉS</v>
      </c>
      <c r="K25" s="48" t="s">
        <v>9</v>
      </c>
      <c r="L25" s="21" t="str">
        <f>D26</f>
        <v>MIGUEL ALCARAZ AMEZCUA</v>
      </c>
      <c r="M25" s="27"/>
      <c r="N25" s="20" t="str">
        <f>D25</f>
        <v>EMILIO MATEO OLIVARES CORTÉS</v>
      </c>
      <c r="O25" s="48" t="s">
        <v>9</v>
      </c>
      <c r="P25" s="21" t="str">
        <f t="shared" ref="P25:P26" si="16">D26</f>
        <v>MIGUEL ALCARAZ AMEZCUA</v>
      </c>
      <c r="S25" s="7">
        <f t="shared" si="4"/>
        <v>1</v>
      </c>
      <c r="T25" s="7">
        <f>$C$25</f>
        <v>0</v>
      </c>
      <c r="U25" s="32" t="str">
        <f>$D$25</f>
        <v>EMILIO MATEO OLIVARES CORTÉS</v>
      </c>
    </row>
    <row r="26" spans="2:21" ht="15.75" customHeight="1" x14ac:dyDescent="0.3">
      <c r="B26" s="53"/>
      <c r="C26" s="8">
        <f>(F27-H27)+(L27-J27)+(P27-N27)</f>
        <v>0</v>
      </c>
      <c r="D26" s="9" t="str">
        <f>IF('Jornada 2 (1)'!G$70=1,INDEX('Jornada 2 (1)'!D$25:D$28,MATCH(2,'Jornada 2 (1)'!E$25:E$28,0)),INDEX('Jornada 2 (1)'!D$18:D$21,MATCH(4,'Jornada 2 (1)'!E$18:E$21,0)))</f>
        <v>MIGUEL ALCARAZ AMEZCUA</v>
      </c>
      <c r="E26" s="17">
        <f t="shared" si="13"/>
        <v>2</v>
      </c>
      <c r="F26" s="22" t="str">
        <f t="shared" si="14"/>
        <v>MIGUEL ALCARAZ AMEZCUA</v>
      </c>
      <c r="G26" s="38"/>
      <c r="H26" s="23" t="str">
        <f>D28</f>
        <v>ESTEFANO ROLANDO BECERRA HERNANDEZ</v>
      </c>
      <c r="I26" s="34"/>
      <c r="J26" s="22" t="str">
        <f>D27</f>
        <v>MAXIMILIANO HERNÁNDEZ OROZCO</v>
      </c>
      <c r="K26" s="38"/>
      <c r="L26" s="23" t="str">
        <f>D28</f>
        <v>ESTEFANO ROLANDO BECERRA HERNANDEZ</v>
      </c>
      <c r="M26" s="28"/>
      <c r="N26" s="22" t="str">
        <f>D28</f>
        <v>ESTEFANO ROLANDO BECERRA HERNANDEZ</v>
      </c>
      <c r="O26" s="38"/>
      <c r="P26" s="23" t="str">
        <f t="shared" si="16"/>
        <v>MAXIMILIANO HERNÁNDEZ OROZCO</v>
      </c>
      <c r="S26" s="7">
        <f t="shared" si="4"/>
        <v>1</v>
      </c>
      <c r="T26" s="7">
        <f>$C$35</f>
        <v>0</v>
      </c>
      <c r="U26" s="32" t="str">
        <f>$D$35</f>
        <v>LUCAS CONTRERAS PADRÓN</v>
      </c>
    </row>
    <row r="27" spans="2:21" ht="15.75" customHeight="1" x14ac:dyDescent="0.3">
      <c r="B27" s="53"/>
      <c r="C27" s="8">
        <f>(H27-F27)+(J27-L27)+(P27-N27)</f>
        <v>0</v>
      </c>
      <c r="D27" s="9" t="str">
        <f>IF('Jornada 2 (1)'!G$70=1,INDEX('Jornada 2 (1)'!D$25:D$28,MATCH(3,'Jornada 2 (1)'!E$25:E$28,0)),INDEX('Jornada 2 (1)'!D$32:D$35,MATCH(1,'Jornada 2 (1)'!E$32:E$35,0)))</f>
        <v>MAXIMILIANO HERNÁNDEZ OROZCO</v>
      </c>
      <c r="E27" s="17">
        <f t="shared" si="13"/>
        <v>3</v>
      </c>
      <c r="F27" s="40"/>
      <c r="G27" s="38"/>
      <c r="H27" s="36"/>
      <c r="I27" s="34"/>
      <c r="J27" s="40"/>
      <c r="K27" s="38"/>
      <c r="L27" s="36"/>
      <c r="M27" s="28"/>
      <c r="N27" s="40"/>
      <c r="O27" s="38"/>
      <c r="P27" s="36"/>
      <c r="S27" s="7">
        <f t="shared" si="4"/>
        <v>1</v>
      </c>
      <c r="T27" s="7">
        <f>$C$42</f>
        <v>0</v>
      </c>
      <c r="U27" s="32" t="str">
        <f>$D$42</f>
        <v>CHRISTIAN ULISES ACOSTA LOMELI</v>
      </c>
    </row>
    <row r="28" spans="2:21" ht="15.75" customHeight="1" thickBot="1" x14ac:dyDescent="0.35">
      <c r="B28" s="54"/>
      <c r="C28" s="8">
        <f>(H27-F27)+(L27-J27)+(N27-P27)</f>
        <v>0</v>
      </c>
      <c r="D28" s="9" t="str">
        <f>IF('Jornada 2 (1)'!G$70=1,INDEX('Jornada 2 (1)'!D$32:D$35,MATCH(1,'Jornada 2 (1)'!E$32:E$35,0)),INDEX('Jornada 2 (1)'!D$32:D$35,MATCH(2,'Jornada 2 (1)'!E$32:E$35,0)))</f>
        <v>ESTEFANO ROLANDO BECERRA HERNANDEZ</v>
      </c>
      <c r="E28" s="17">
        <f t="shared" si="13"/>
        <v>4</v>
      </c>
      <c r="F28" s="50"/>
      <c r="G28" s="49"/>
      <c r="H28" s="47"/>
      <c r="I28" s="34"/>
      <c r="J28" s="50"/>
      <c r="K28" s="49"/>
      <c r="L28" s="47"/>
      <c r="M28" s="28"/>
      <c r="N28" s="50"/>
      <c r="O28" s="49"/>
      <c r="P28" s="47"/>
    </row>
    <row r="29" spans="2:21" ht="15.75" customHeight="1" x14ac:dyDescent="0.3"/>
    <row r="30" spans="2:21" ht="15.75" customHeight="1" thickBot="1" x14ac:dyDescent="0.35"/>
    <row r="31" spans="2:21" ht="15.75" customHeight="1" thickBot="1" x14ac:dyDescent="0.35">
      <c r="B31" s="52" t="s">
        <v>50</v>
      </c>
      <c r="C31" s="2" t="s">
        <v>2</v>
      </c>
      <c r="D31" s="2" t="s">
        <v>3</v>
      </c>
      <c r="E31" s="2"/>
      <c r="F31" s="44" t="s">
        <v>4</v>
      </c>
      <c r="G31" s="45"/>
      <c r="H31" s="46"/>
      <c r="I31" s="33"/>
      <c r="J31" s="44" t="s">
        <v>5</v>
      </c>
      <c r="K31" s="45"/>
      <c r="L31" s="46"/>
      <c r="M31" s="2"/>
      <c r="N31" s="44" t="s">
        <v>6</v>
      </c>
      <c r="O31" s="45"/>
      <c r="P31" s="46"/>
    </row>
    <row r="32" spans="2:21" ht="15.75" customHeight="1" x14ac:dyDescent="0.3">
      <c r="B32" s="53"/>
      <c r="C32" s="5">
        <f>(F34-H34)+(J34-L34)+(N34-P34)</f>
        <v>0</v>
      </c>
      <c r="D32" s="6" t="str">
        <f>IF('Jornada 2 (1)'!G$70=1,INDEX('Jornada 2 (1)'!D$25:D$28,MATCH(4,'Jornada 2 (1)'!E$25:E$28,0)),INDEX('Jornada 2 (1)'!D$25:D$28,MATCH(3,'Jornada 2 (1)'!E$25:E$28,0)))</f>
        <v>CAMILO RODRIGUEZ PACHECO</v>
      </c>
      <c r="E32" s="17">
        <f t="shared" ref="E32:E35" si="17">COUNTIF(C$32:C$35,"&gt;"&amp;C32)+COUNTIF($C$32:C32,C32)</f>
        <v>1</v>
      </c>
      <c r="F32" s="20" t="str">
        <f t="shared" ref="F32:F33" si="18">D32</f>
        <v>CAMILO RODRIGUEZ PACHECO</v>
      </c>
      <c r="G32" s="48" t="s">
        <v>9</v>
      </c>
      <c r="H32" s="21" t="str">
        <f t="shared" ref="H32:H33" si="19">D34</f>
        <v>LEO LUCERO KOLB</v>
      </c>
      <c r="I32" s="34"/>
      <c r="J32" s="20" t="str">
        <f>D32</f>
        <v>CAMILO RODRIGUEZ PACHECO</v>
      </c>
      <c r="K32" s="48" t="s">
        <v>9</v>
      </c>
      <c r="L32" s="21" t="str">
        <f>D33</f>
        <v>ALEJANDRO CAMARENA LOPEZ</v>
      </c>
      <c r="M32" s="27"/>
      <c r="N32" s="20" t="str">
        <f>D32</f>
        <v>CAMILO RODRIGUEZ PACHECO</v>
      </c>
      <c r="O32" s="48" t="s">
        <v>9</v>
      </c>
      <c r="P32" s="21" t="str">
        <f t="shared" ref="P32:P33" si="20">D33</f>
        <v>ALEJANDRO CAMARENA LOPEZ</v>
      </c>
    </row>
    <row r="33" spans="1:16" ht="15.75" customHeight="1" x14ac:dyDescent="0.3">
      <c r="B33" s="53"/>
      <c r="C33" s="8">
        <f>(F34-H34)+(L34-J34)+(P34-N34)</f>
        <v>0</v>
      </c>
      <c r="D33" s="9" t="str">
        <f>IF('Jornada 2 (1)'!G$70=1,INDEX('Jornada 2 (1)'!D$32:D$35,MATCH(2,'Jornada 2 (1)'!E$32:E$35,0)),INDEX('Jornada 2 (1)'!D$25:D$28,MATCH(4,'Jornada 2 (1)'!E$25:E$28,0)))</f>
        <v>ALEJANDRO CAMARENA LOPEZ</v>
      </c>
      <c r="E33" s="17">
        <f t="shared" si="17"/>
        <v>2</v>
      </c>
      <c r="F33" s="22" t="str">
        <f t="shared" si="18"/>
        <v>ALEJANDRO CAMARENA LOPEZ</v>
      </c>
      <c r="G33" s="38"/>
      <c r="H33" s="23" t="str">
        <f t="shared" si="19"/>
        <v>LUCAS CONTRERAS PADRÓN</v>
      </c>
      <c r="I33" s="34"/>
      <c r="J33" s="22" t="str">
        <f>D34</f>
        <v>LEO LUCERO KOLB</v>
      </c>
      <c r="K33" s="38"/>
      <c r="L33" s="23" t="str">
        <f>D35</f>
        <v>LUCAS CONTRERAS PADRÓN</v>
      </c>
      <c r="M33" s="28"/>
      <c r="N33" s="22" t="str">
        <f>D35</f>
        <v>LUCAS CONTRERAS PADRÓN</v>
      </c>
      <c r="O33" s="38"/>
      <c r="P33" s="23" t="str">
        <f t="shared" si="20"/>
        <v>LEO LUCERO KOLB</v>
      </c>
    </row>
    <row r="34" spans="1:16" ht="15.75" customHeight="1" x14ac:dyDescent="0.3">
      <c r="B34" s="53"/>
      <c r="C34" s="8">
        <f>(H34-F34)+(J34-L34)+(P34-N34)</f>
        <v>0</v>
      </c>
      <c r="D34" s="9" t="str">
        <f>IF('Jornada 2 (1)'!G$70=1,INDEX('Jornada 2 (1)'!D$32:D$35,MATCH(3,'Jornada 2 (1)'!E$32:E$35,0)),INDEX('Jornada 2 (1)'!D$39:D$42,MATCH(1,'Jornada 2 (1)'!E$39:E$42,0)))</f>
        <v>LEO LUCERO KOLB</v>
      </c>
      <c r="E34" s="17">
        <f t="shared" si="17"/>
        <v>3</v>
      </c>
      <c r="F34" s="40"/>
      <c r="G34" s="38"/>
      <c r="H34" s="36"/>
      <c r="I34" s="34"/>
      <c r="J34" s="40"/>
      <c r="K34" s="38"/>
      <c r="L34" s="36"/>
      <c r="M34" s="28"/>
      <c r="N34" s="40"/>
      <c r="O34" s="38"/>
      <c r="P34" s="36"/>
    </row>
    <row r="35" spans="1:16" ht="15.75" customHeight="1" thickBot="1" x14ac:dyDescent="0.35">
      <c r="A35" t="s">
        <v>56</v>
      </c>
      <c r="B35" s="54"/>
      <c r="C35" s="8">
        <f>(H34-F34)+(L34-J34)+(N34-P34)</f>
        <v>0</v>
      </c>
      <c r="D35" s="9" t="str">
        <f>IF('Jornada 2 (1)'!G$70=1,INDEX('Jornada 2 (1)'!D$39:D$42,MATCH(1,'Jornada 2 (1)'!E$39:E$42,0)),INDEX('Jornada 2 (1)'!D$39:D$42,MATCH(2,'Jornada 2 (1)'!E$39:E$42,0)))</f>
        <v>LUCAS CONTRERAS PADRÓN</v>
      </c>
      <c r="E35" s="17">
        <f t="shared" si="17"/>
        <v>4</v>
      </c>
      <c r="F35" s="50"/>
      <c r="G35" s="49"/>
      <c r="H35" s="47"/>
      <c r="I35" s="34"/>
      <c r="J35" s="50"/>
      <c r="K35" s="49"/>
      <c r="L35" s="47"/>
      <c r="M35" s="28"/>
      <c r="N35" s="50"/>
      <c r="O35" s="49"/>
      <c r="P35" s="47"/>
    </row>
    <row r="36" spans="1:16" ht="15.75" customHeight="1" x14ac:dyDescent="0.3"/>
    <row r="37" spans="1:16" ht="15.75" customHeight="1" thickBot="1" x14ac:dyDescent="0.35"/>
    <row r="38" spans="1:16" ht="15.75" customHeight="1" thickBot="1" x14ac:dyDescent="0.35">
      <c r="B38" s="52" t="s">
        <v>51</v>
      </c>
      <c r="C38" s="2" t="s">
        <v>2</v>
      </c>
      <c r="D38" s="2" t="s">
        <v>3</v>
      </c>
      <c r="E38" s="2"/>
      <c r="F38" s="44" t="s">
        <v>4</v>
      </c>
      <c r="G38" s="45"/>
      <c r="H38" s="46"/>
      <c r="I38" s="33"/>
      <c r="J38" s="44" t="s">
        <v>5</v>
      </c>
      <c r="K38" s="45"/>
      <c r="L38" s="46"/>
      <c r="M38" s="2"/>
      <c r="N38" s="44" t="s">
        <v>6</v>
      </c>
      <c r="O38" s="45"/>
      <c r="P38" s="46"/>
    </row>
    <row r="39" spans="1:16" ht="15.75" customHeight="1" x14ac:dyDescent="0.3">
      <c r="B39" s="53"/>
      <c r="C39" s="5">
        <f>(F41-H41)+(J41-L41)+(N41-P41)</f>
        <v>0</v>
      </c>
      <c r="D39" s="6" t="str">
        <f>IF('Jornada 2 (1)'!G$70=1,INDEX('Jornada 2 (1)'!D$32:D$35,MATCH(4,'Jornada 2 (1)'!E$32:E$35,0)),INDEX('Jornada 2 (1)'!D$32:D$35,MATCH(3,'Jornada 2 (1)'!E$32:E$35,0)))</f>
        <v>JOSUÉ SANTIAGO PÉREZ MEDINA</v>
      </c>
      <c r="E39" s="6">
        <f t="shared" ref="E39:E42" si="21">COUNTIF(C$39:C$42,"&gt;"&amp;C39)+COUNTIF($C$39:C39,C39)</f>
        <v>1</v>
      </c>
      <c r="F39" s="6" t="str">
        <f t="shared" ref="F39:F40" si="22">D39</f>
        <v>JOSUÉ SANTIAGO PÉREZ MEDINA</v>
      </c>
      <c r="G39" s="48" t="s">
        <v>9</v>
      </c>
      <c r="H39" s="6" t="str">
        <f>D41</f>
        <v>ADRIANA ESPINOZA SALDAÑA</v>
      </c>
      <c r="I39" s="34"/>
      <c r="J39" s="6" t="str">
        <f>D39</f>
        <v>JOSUÉ SANTIAGO PÉREZ MEDINA</v>
      </c>
      <c r="K39" s="48" t="s">
        <v>9</v>
      </c>
      <c r="L39" s="6" t="str">
        <f>D40</f>
        <v>ALBERTO ROBLES ARMENTA</v>
      </c>
      <c r="M39" s="6"/>
      <c r="N39" s="6" t="str">
        <f>D39</f>
        <v>JOSUÉ SANTIAGO PÉREZ MEDINA</v>
      </c>
      <c r="O39" s="48" t="s">
        <v>9</v>
      </c>
      <c r="P39" s="6" t="str">
        <f t="shared" ref="P39" si="23">D40</f>
        <v>ALBERTO ROBLES ARMENTA</v>
      </c>
    </row>
    <row r="40" spans="1:16" ht="15.75" customHeight="1" x14ac:dyDescent="0.3">
      <c r="B40" s="53"/>
      <c r="C40" s="8">
        <f>(F41-H41)+(L41-J41)+(P41-N41)</f>
        <v>0</v>
      </c>
      <c r="D40" s="9" t="str">
        <f>IF('Jornada 2 (1)'!G$70=1,INDEX('Jornada 2 (1)'!D$39:D$42,MATCH(2,'Jornada 2 (1)'!E$39:E$42,0)),INDEX('Jornada 2 (1)'!D$32:D$35,MATCH(4,'Jornada 2 (1)'!E$32:E$35,0)))</f>
        <v>ALBERTO ROBLES ARMENTA</v>
      </c>
      <c r="E40" s="6">
        <f t="shared" si="21"/>
        <v>2</v>
      </c>
      <c r="F40" s="9" t="str">
        <f t="shared" si="22"/>
        <v>ALBERTO ROBLES ARMENTA</v>
      </c>
      <c r="G40" s="38"/>
      <c r="H40" s="9" t="str">
        <f t="shared" ref="H40" si="24">D42</f>
        <v>CHRISTIAN ULISES ACOSTA LOMELI</v>
      </c>
      <c r="I40" s="34"/>
      <c r="J40" s="9" t="str">
        <f>D41</f>
        <v>ADRIANA ESPINOZA SALDAÑA</v>
      </c>
      <c r="K40" s="38"/>
      <c r="L40" s="9" t="str">
        <f>D42</f>
        <v>CHRISTIAN ULISES ACOSTA LOMELI</v>
      </c>
      <c r="M40" s="9"/>
      <c r="N40" s="9" t="str">
        <f>D42</f>
        <v>CHRISTIAN ULISES ACOSTA LOMELI</v>
      </c>
      <c r="O40" s="38"/>
      <c r="P40" s="9" t="str">
        <f>D41</f>
        <v>ADRIANA ESPINOZA SALDAÑA</v>
      </c>
    </row>
    <row r="41" spans="1:16" ht="15.75" customHeight="1" x14ac:dyDescent="0.3">
      <c r="B41" s="53"/>
      <c r="C41" s="8">
        <f>(H41-F41)+(J41-L41)+(P41-N41)</f>
        <v>0</v>
      </c>
      <c r="D41" s="9" t="str">
        <f>INDEX('Jornada 2 (1)'!D$39:D$42,MATCH(3,'Jornada 2 (1)'!E$39:E$42,0))</f>
        <v>ADRIANA ESPINOZA SALDAÑA</v>
      </c>
      <c r="E41" s="6">
        <f t="shared" si="21"/>
        <v>3</v>
      </c>
      <c r="F41" s="42"/>
      <c r="G41" s="38"/>
      <c r="H41" s="42"/>
      <c r="I41" s="34"/>
      <c r="J41" s="42"/>
      <c r="K41" s="38"/>
      <c r="L41" s="42"/>
      <c r="M41" s="9"/>
      <c r="N41" s="42"/>
      <c r="O41" s="38"/>
      <c r="P41" s="42"/>
    </row>
    <row r="42" spans="1:16" ht="15.75" customHeight="1" x14ac:dyDescent="0.3">
      <c r="B42" s="54"/>
      <c r="C42" s="8">
        <f>(H41-F41)+(L41-J41)+(N41-P41)</f>
        <v>0</v>
      </c>
      <c r="D42" s="9" t="str">
        <f>INDEX('Jornada 2 (1)'!D$39:D$42,MATCH(4,'Jornada 2 (1)'!E$39:E$42,0))</f>
        <v>CHRISTIAN ULISES ACOSTA LOMELI</v>
      </c>
      <c r="E42" s="6">
        <f t="shared" si="21"/>
        <v>4</v>
      </c>
      <c r="F42" s="39"/>
      <c r="G42" s="51"/>
      <c r="H42" s="39"/>
      <c r="I42" s="34"/>
      <c r="J42" s="39"/>
      <c r="K42" s="51"/>
      <c r="L42" s="39"/>
      <c r="M42" s="9"/>
      <c r="N42" s="39"/>
      <c r="O42" s="51"/>
      <c r="P42" s="39"/>
    </row>
    <row r="43" spans="1:16" ht="15.75" customHeight="1" x14ac:dyDescent="0.3"/>
    <row r="44" spans="1:16" ht="15.75" hidden="1" customHeight="1" x14ac:dyDescent="0.3"/>
    <row r="45" spans="1:16" ht="15.75" hidden="1" customHeight="1" x14ac:dyDescent="0.3">
      <c r="B45" s="42" t="s">
        <v>15</v>
      </c>
      <c r="C45" s="2" t="s">
        <v>2</v>
      </c>
      <c r="D45" s="2" t="s">
        <v>3</v>
      </c>
      <c r="E45" s="2"/>
      <c r="F45" s="2" t="s">
        <v>4</v>
      </c>
      <c r="G45" s="2"/>
      <c r="H45" s="2"/>
      <c r="I45" s="2"/>
      <c r="J45" s="2" t="s">
        <v>5</v>
      </c>
      <c r="K45" s="2"/>
      <c r="L45" s="2"/>
      <c r="M45" s="2"/>
      <c r="N45" s="2" t="s">
        <v>6</v>
      </c>
      <c r="O45" s="2"/>
      <c r="P45" s="3"/>
    </row>
    <row r="46" spans="1:16" ht="15.75" hidden="1" customHeight="1" x14ac:dyDescent="0.3">
      <c r="B46" s="43"/>
      <c r="C46" s="5">
        <f>(F48-H48)+(J48-L48)+(N48-P48)</f>
        <v>0</v>
      </c>
      <c r="D46" s="6" t="s">
        <v>16</v>
      </c>
      <c r="E46" s="6"/>
      <c r="F46" s="6" t="str">
        <f t="shared" ref="F46:F47" si="25">D46</f>
        <v>Jugador 1</v>
      </c>
      <c r="G46" s="38" t="s">
        <v>9</v>
      </c>
      <c r="H46" s="6" t="str">
        <f t="shared" ref="H46:H47" si="26">D48</f>
        <v>Jugador 3</v>
      </c>
      <c r="I46" s="6"/>
      <c r="J46" s="6" t="str">
        <f>D46</f>
        <v>Jugador 1</v>
      </c>
      <c r="K46" s="38" t="s">
        <v>9</v>
      </c>
      <c r="L46" s="6" t="str">
        <f>D47</f>
        <v>Jugador 2</v>
      </c>
      <c r="M46" s="6"/>
      <c r="N46" s="6" t="str">
        <f>D46</f>
        <v>Jugador 1</v>
      </c>
      <c r="O46" s="38" t="s">
        <v>9</v>
      </c>
      <c r="P46" s="6" t="str">
        <f t="shared" ref="P46:P47" si="27">D47</f>
        <v>Jugador 2</v>
      </c>
    </row>
    <row r="47" spans="1:16" ht="15.75" hidden="1" customHeight="1" x14ac:dyDescent="0.3">
      <c r="B47" s="43"/>
      <c r="C47" s="8">
        <f>(F48-H48)+(L48-J48)+(P48-N48)</f>
        <v>0</v>
      </c>
      <c r="D47" s="9" t="s">
        <v>17</v>
      </c>
      <c r="E47" s="9"/>
      <c r="F47" s="9" t="str">
        <f t="shared" si="25"/>
        <v>Jugador 2</v>
      </c>
      <c r="G47" s="39"/>
      <c r="H47" s="9" t="str">
        <f t="shared" si="26"/>
        <v>Jugador 4</v>
      </c>
      <c r="I47" s="9"/>
      <c r="J47" s="9" t="str">
        <f>D48</f>
        <v>Jugador 3</v>
      </c>
      <c r="K47" s="39"/>
      <c r="L47" s="9" t="str">
        <f>D49</f>
        <v>Jugador 4</v>
      </c>
      <c r="M47" s="9"/>
      <c r="N47" s="9" t="str">
        <f>D49</f>
        <v>Jugador 4</v>
      </c>
      <c r="O47" s="39"/>
      <c r="P47" s="9" t="str">
        <f t="shared" si="27"/>
        <v>Jugador 3</v>
      </c>
    </row>
    <row r="48" spans="1:16" ht="15.75" hidden="1" customHeight="1" x14ac:dyDescent="0.3">
      <c r="B48" s="43"/>
      <c r="C48" s="8">
        <f>(H48-F48)+(J48-L48)+(P48-N48)</f>
        <v>0</v>
      </c>
      <c r="D48" s="9" t="s">
        <v>18</v>
      </c>
      <c r="E48" s="9"/>
      <c r="F48" s="42"/>
      <c r="G48" s="9"/>
      <c r="H48" s="42"/>
      <c r="I48" s="9"/>
      <c r="J48" s="42"/>
      <c r="K48" s="9"/>
      <c r="L48" s="42"/>
      <c r="M48" s="9"/>
      <c r="N48" s="42"/>
      <c r="O48" s="9"/>
      <c r="P48" s="42"/>
    </row>
    <row r="49" spans="2:16" ht="15.75" hidden="1" customHeight="1" x14ac:dyDescent="0.3">
      <c r="B49" s="43"/>
      <c r="C49" s="8">
        <f>(H48-F48)+(L48-J48)+(N48-P48)</f>
        <v>0</v>
      </c>
      <c r="D49" s="9" t="s">
        <v>19</v>
      </c>
      <c r="E49" s="9"/>
      <c r="F49" s="39"/>
      <c r="G49" s="9"/>
      <c r="H49" s="39"/>
      <c r="I49" s="9"/>
      <c r="J49" s="39"/>
      <c r="K49" s="9"/>
      <c r="L49" s="39"/>
      <c r="M49" s="9"/>
      <c r="N49" s="39"/>
      <c r="O49" s="9"/>
      <c r="P49" s="39"/>
    </row>
    <row r="50" spans="2:16" ht="15.75" hidden="1" customHeight="1" x14ac:dyDescent="0.3">
      <c r="B50" s="39"/>
      <c r="C50" s="1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5.75" hidden="1" customHeight="1" x14ac:dyDescent="0.3"/>
    <row r="52" spans="2:16" ht="15.75" hidden="1" customHeight="1" x14ac:dyDescent="0.3"/>
    <row r="53" spans="2:16" ht="15.75" hidden="1" customHeight="1" x14ac:dyDescent="0.3">
      <c r="B53" s="42" t="s">
        <v>20</v>
      </c>
      <c r="C53" s="2" t="s">
        <v>2</v>
      </c>
      <c r="D53" s="2" t="s">
        <v>3</v>
      </c>
      <c r="E53" s="2"/>
      <c r="F53" s="2" t="s">
        <v>4</v>
      </c>
      <c r="G53" s="2"/>
      <c r="H53" s="2"/>
      <c r="I53" s="2"/>
      <c r="J53" s="2" t="s">
        <v>5</v>
      </c>
      <c r="K53" s="2"/>
      <c r="L53" s="2"/>
      <c r="M53" s="2"/>
      <c r="N53" s="2" t="s">
        <v>6</v>
      </c>
      <c r="O53" s="2"/>
      <c r="P53" s="3"/>
    </row>
    <row r="54" spans="2:16" ht="15.75" hidden="1" customHeight="1" x14ac:dyDescent="0.3">
      <c r="B54" s="43"/>
      <c r="C54" s="5">
        <f>(F56-H56)+(J56-L56)+(N56-P56)</f>
        <v>0</v>
      </c>
      <c r="D54" s="6" t="s">
        <v>16</v>
      </c>
      <c r="E54" s="6"/>
      <c r="F54" s="6" t="str">
        <f t="shared" ref="F54:F55" si="28">D54</f>
        <v>Jugador 1</v>
      </c>
      <c r="G54" s="38" t="s">
        <v>9</v>
      </c>
      <c r="H54" s="6" t="str">
        <f t="shared" ref="H54:H55" si="29">D56</f>
        <v>Jugador 3</v>
      </c>
      <c r="I54" s="6"/>
      <c r="J54" s="6" t="str">
        <f>D54</f>
        <v>Jugador 1</v>
      </c>
      <c r="K54" s="38" t="s">
        <v>9</v>
      </c>
      <c r="L54" s="6" t="str">
        <f>D55</f>
        <v>Jugador 2</v>
      </c>
      <c r="M54" s="6"/>
      <c r="N54" s="6" t="str">
        <f>D54</f>
        <v>Jugador 1</v>
      </c>
      <c r="O54" s="38" t="s">
        <v>9</v>
      </c>
      <c r="P54" s="6" t="str">
        <f t="shared" ref="P54:P55" si="30">D55</f>
        <v>Jugador 2</v>
      </c>
    </row>
    <row r="55" spans="2:16" ht="15.75" hidden="1" customHeight="1" x14ac:dyDescent="0.3">
      <c r="B55" s="43"/>
      <c r="C55" s="8">
        <f>(F56-H56)+(L56-J56)+(P56-N56)</f>
        <v>0</v>
      </c>
      <c r="D55" s="9" t="s">
        <v>17</v>
      </c>
      <c r="E55" s="9"/>
      <c r="F55" s="9" t="str">
        <f t="shared" si="28"/>
        <v>Jugador 2</v>
      </c>
      <c r="G55" s="39"/>
      <c r="H55" s="9" t="str">
        <f t="shared" si="29"/>
        <v>Jugador 4</v>
      </c>
      <c r="I55" s="9"/>
      <c r="J55" s="9" t="str">
        <f>D56</f>
        <v>Jugador 3</v>
      </c>
      <c r="K55" s="39"/>
      <c r="L55" s="9" t="str">
        <f>D57</f>
        <v>Jugador 4</v>
      </c>
      <c r="M55" s="9"/>
      <c r="N55" s="9" t="str">
        <f>D57</f>
        <v>Jugador 4</v>
      </c>
      <c r="O55" s="39"/>
      <c r="P55" s="9" t="str">
        <f t="shared" si="30"/>
        <v>Jugador 3</v>
      </c>
    </row>
    <row r="56" spans="2:16" ht="15.75" hidden="1" customHeight="1" x14ac:dyDescent="0.3">
      <c r="B56" s="43"/>
      <c r="C56" s="8">
        <f>(H56-F56)+(J56-L56)+(P56-N56)</f>
        <v>0</v>
      </c>
      <c r="D56" s="9" t="s">
        <v>18</v>
      </c>
      <c r="E56" s="9"/>
      <c r="F56" s="42"/>
      <c r="G56" s="9"/>
      <c r="H56" s="42"/>
      <c r="I56" s="9"/>
      <c r="J56" s="42"/>
      <c r="K56" s="9"/>
      <c r="L56" s="42"/>
      <c r="M56" s="9"/>
      <c r="N56" s="42"/>
      <c r="O56" s="9"/>
      <c r="P56" s="42"/>
    </row>
    <row r="57" spans="2:16" ht="15.75" hidden="1" customHeight="1" x14ac:dyDescent="0.3">
      <c r="B57" s="43"/>
      <c r="C57" s="8">
        <f>(H56-F56)+(L56-J56)+(N56-P56)</f>
        <v>0</v>
      </c>
      <c r="D57" s="9" t="s">
        <v>19</v>
      </c>
      <c r="E57" s="9"/>
      <c r="F57" s="39"/>
      <c r="G57" s="9"/>
      <c r="H57" s="39"/>
      <c r="I57" s="9"/>
      <c r="J57" s="39"/>
      <c r="K57" s="9"/>
      <c r="L57" s="39"/>
      <c r="M57" s="9"/>
      <c r="N57" s="39"/>
      <c r="O57" s="9"/>
      <c r="P57" s="39"/>
    </row>
    <row r="58" spans="2:16" ht="15.75" hidden="1" customHeight="1" x14ac:dyDescent="0.3">
      <c r="B58" s="39"/>
      <c r="C58" s="1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5.75" hidden="1" customHeight="1" x14ac:dyDescent="0.3"/>
    <row r="60" spans="2:16" ht="15.75" hidden="1" customHeight="1" x14ac:dyDescent="0.3"/>
    <row r="61" spans="2:16" ht="15.75" hidden="1" customHeight="1" x14ac:dyDescent="0.3">
      <c r="B61" s="42" t="s">
        <v>21</v>
      </c>
      <c r="C61" s="2" t="s">
        <v>2</v>
      </c>
      <c r="D61" s="2" t="s">
        <v>3</v>
      </c>
      <c r="E61" s="2"/>
      <c r="F61" s="2" t="s">
        <v>4</v>
      </c>
      <c r="G61" s="2"/>
      <c r="H61" s="2"/>
      <c r="I61" s="2"/>
      <c r="J61" s="2" t="s">
        <v>5</v>
      </c>
      <c r="K61" s="2"/>
      <c r="L61" s="2"/>
      <c r="M61" s="2"/>
      <c r="N61" s="2" t="s">
        <v>6</v>
      </c>
      <c r="O61" s="2"/>
      <c r="P61" s="3"/>
    </row>
    <row r="62" spans="2:16" ht="15.75" hidden="1" customHeight="1" x14ac:dyDescent="0.3">
      <c r="B62" s="43"/>
      <c r="C62" s="5">
        <f>(F64-H64)+(J64-L64)+(N64-P64)</f>
        <v>0</v>
      </c>
      <c r="D62" s="6" t="s">
        <v>16</v>
      </c>
      <c r="E62" s="6"/>
      <c r="F62" s="6" t="str">
        <f t="shared" ref="F62:F63" si="31">D62</f>
        <v>Jugador 1</v>
      </c>
      <c r="G62" s="38" t="s">
        <v>9</v>
      </c>
      <c r="H62" s="6" t="str">
        <f t="shared" ref="H62:H63" si="32">D64</f>
        <v>Jugador 3</v>
      </c>
      <c r="I62" s="6"/>
      <c r="J62" s="6" t="str">
        <f>D62</f>
        <v>Jugador 1</v>
      </c>
      <c r="K62" s="38" t="s">
        <v>9</v>
      </c>
      <c r="L62" s="6" t="str">
        <f>D63</f>
        <v>Jugador 2</v>
      </c>
      <c r="M62" s="6"/>
      <c r="N62" s="6" t="str">
        <f>D62</f>
        <v>Jugador 1</v>
      </c>
      <c r="O62" s="38" t="s">
        <v>9</v>
      </c>
      <c r="P62" s="6" t="str">
        <f t="shared" ref="P62:P63" si="33">D63</f>
        <v>Jugador 2</v>
      </c>
    </row>
    <row r="63" spans="2:16" ht="15.75" hidden="1" customHeight="1" x14ac:dyDescent="0.3">
      <c r="B63" s="43"/>
      <c r="C63" s="8">
        <f>(F64-H64)+(L64-J64)+(P64-N64)</f>
        <v>0</v>
      </c>
      <c r="D63" s="9" t="s">
        <v>17</v>
      </c>
      <c r="E63" s="9"/>
      <c r="F63" s="9" t="str">
        <f t="shared" si="31"/>
        <v>Jugador 2</v>
      </c>
      <c r="G63" s="39"/>
      <c r="H63" s="9" t="str">
        <f t="shared" si="32"/>
        <v>Jugador 4</v>
      </c>
      <c r="I63" s="9"/>
      <c r="J63" s="9" t="str">
        <f>D64</f>
        <v>Jugador 3</v>
      </c>
      <c r="K63" s="39"/>
      <c r="L63" s="9" t="str">
        <f>D65</f>
        <v>Jugador 4</v>
      </c>
      <c r="M63" s="9"/>
      <c r="N63" s="9" t="str">
        <f>D65</f>
        <v>Jugador 4</v>
      </c>
      <c r="O63" s="39"/>
      <c r="P63" s="9" t="str">
        <f t="shared" si="33"/>
        <v>Jugador 3</v>
      </c>
    </row>
    <row r="64" spans="2:16" ht="15.75" hidden="1" customHeight="1" x14ac:dyDescent="0.3">
      <c r="B64" s="43"/>
      <c r="C64" s="8">
        <f>(H64-F64)+(J64-L64)+(P64-N64)</f>
        <v>0</v>
      </c>
      <c r="D64" s="9" t="s">
        <v>18</v>
      </c>
      <c r="E64" s="9"/>
      <c r="F64" s="42"/>
      <c r="G64" s="9"/>
      <c r="H64" s="42"/>
      <c r="I64" s="9"/>
      <c r="J64" s="42"/>
      <c r="K64" s="9"/>
      <c r="L64" s="42"/>
      <c r="M64" s="9"/>
      <c r="N64" s="42"/>
      <c r="O64" s="9"/>
      <c r="P64" s="42"/>
    </row>
    <row r="65" spans="2:16" ht="15.75" hidden="1" customHeight="1" x14ac:dyDescent="0.3">
      <c r="B65" s="43"/>
      <c r="C65" s="8">
        <f>(H64-F64)+(L64-J64)+(N64-P64)</f>
        <v>0</v>
      </c>
      <c r="D65" s="9" t="s">
        <v>19</v>
      </c>
      <c r="E65" s="9"/>
      <c r="F65" s="39"/>
      <c r="G65" s="9"/>
      <c r="H65" s="39"/>
      <c r="I65" s="9"/>
      <c r="J65" s="39"/>
      <c r="K65" s="9"/>
      <c r="L65" s="39"/>
      <c r="M65" s="9"/>
      <c r="N65" s="39"/>
      <c r="O65" s="9"/>
      <c r="P65" s="39"/>
    </row>
    <row r="66" spans="2:16" ht="15.75" hidden="1" customHeight="1" x14ac:dyDescent="0.3">
      <c r="B66" s="39"/>
      <c r="C66" s="1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5.75" hidden="1" customHeight="1" x14ac:dyDescent="0.3"/>
    <row r="68" spans="2:16" ht="15.75" hidden="1" customHeight="1" x14ac:dyDescent="0.3"/>
    <row r="69" spans="2:16" ht="15.75" hidden="1" customHeight="1" x14ac:dyDescent="0.3"/>
    <row r="70" spans="2:16" ht="15.75" customHeight="1" x14ac:dyDescent="0.3">
      <c r="F70" s="1" t="s">
        <v>22</v>
      </c>
      <c r="G70" s="1">
        <v>2</v>
      </c>
    </row>
    <row r="71" spans="2:16" ht="15.75" customHeight="1" x14ac:dyDescent="0.3"/>
    <row r="72" spans="2:16" ht="15.75" customHeight="1" x14ac:dyDescent="0.3"/>
    <row r="73" spans="2:16" ht="15.75" customHeight="1" x14ac:dyDescent="0.3"/>
    <row r="74" spans="2:16" ht="15.75" customHeight="1" x14ac:dyDescent="0.3"/>
    <row r="75" spans="2:16" ht="15.75" customHeight="1" x14ac:dyDescent="0.3"/>
    <row r="76" spans="2:16" ht="15.75" customHeight="1" x14ac:dyDescent="0.3"/>
    <row r="77" spans="2:16" ht="15.75" customHeight="1" x14ac:dyDescent="0.3"/>
    <row r="78" spans="2:16" ht="15.75" customHeight="1" x14ac:dyDescent="0.3"/>
    <row r="79" spans="2:16" ht="15.75" customHeight="1" x14ac:dyDescent="0.3"/>
    <row r="80" spans="2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10">
    <mergeCell ref="F1:H1"/>
    <mergeCell ref="S2:U2"/>
    <mergeCell ref="B3:B7"/>
    <mergeCell ref="F3:H3"/>
    <mergeCell ref="J3:L3"/>
    <mergeCell ref="N3:P3"/>
    <mergeCell ref="G4:G7"/>
    <mergeCell ref="K4:K7"/>
    <mergeCell ref="O4:O7"/>
    <mergeCell ref="F6:F7"/>
    <mergeCell ref="H6:H7"/>
    <mergeCell ref="J6:J7"/>
    <mergeCell ref="L6:L7"/>
    <mergeCell ref="N6:N7"/>
    <mergeCell ref="P6:P7"/>
    <mergeCell ref="B10:B14"/>
    <mergeCell ref="F10:H10"/>
    <mergeCell ref="J10:L10"/>
    <mergeCell ref="N10:P10"/>
    <mergeCell ref="G11:G14"/>
    <mergeCell ref="P13:P14"/>
    <mergeCell ref="B17:B21"/>
    <mergeCell ref="F17:H17"/>
    <mergeCell ref="J17:L17"/>
    <mergeCell ref="N17:P17"/>
    <mergeCell ref="G18:G21"/>
    <mergeCell ref="K18:K21"/>
    <mergeCell ref="O18:O21"/>
    <mergeCell ref="F20:F21"/>
    <mergeCell ref="H20:H21"/>
    <mergeCell ref="K11:K14"/>
    <mergeCell ref="O11:O14"/>
    <mergeCell ref="F13:F14"/>
    <mergeCell ref="H13:H14"/>
    <mergeCell ref="J13:J14"/>
    <mergeCell ref="L13:L14"/>
    <mergeCell ref="N13:N14"/>
    <mergeCell ref="J20:J21"/>
    <mergeCell ref="L20:L21"/>
    <mergeCell ref="N20:N21"/>
    <mergeCell ref="P20:P21"/>
    <mergeCell ref="B24:B28"/>
    <mergeCell ref="F24:H24"/>
    <mergeCell ref="J24:L24"/>
    <mergeCell ref="N24:P24"/>
    <mergeCell ref="G25:G28"/>
    <mergeCell ref="K25:K28"/>
    <mergeCell ref="P27:P28"/>
    <mergeCell ref="O25:O28"/>
    <mergeCell ref="F27:F28"/>
    <mergeCell ref="H27:H28"/>
    <mergeCell ref="J27:J28"/>
    <mergeCell ref="L27:L28"/>
    <mergeCell ref="N27:N28"/>
    <mergeCell ref="B31:B35"/>
    <mergeCell ref="F31:H31"/>
    <mergeCell ref="J31:L31"/>
    <mergeCell ref="N31:P31"/>
    <mergeCell ref="G32:G35"/>
    <mergeCell ref="K32:K35"/>
    <mergeCell ref="O32:O35"/>
    <mergeCell ref="F34:F35"/>
    <mergeCell ref="H34:H35"/>
    <mergeCell ref="J34:J35"/>
    <mergeCell ref="L34:L35"/>
    <mergeCell ref="N34:N35"/>
    <mergeCell ref="P34:P35"/>
    <mergeCell ref="B38:B42"/>
    <mergeCell ref="F38:H38"/>
    <mergeCell ref="J38:L38"/>
    <mergeCell ref="N38:P38"/>
    <mergeCell ref="G39:G42"/>
    <mergeCell ref="K39:K42"/>
    <mergeCell ref="P41:P42"/>
    <mergeCell ref="B45:B50"/>
    <mergeCell ref="G46:G47"/>
    <mergeCell ref="K46:K47"/>
    <mergeCell ref="O46:O47"/>
    <mergeCell ref="F48:F49"/>
    <mergeCell ref="H48:H49"/>
    <mergeCell ref="J48:J49"/>
    <mergeCell ref="L48:L49"/>
    <mergeCell ref="N48:N49"/>
    <mergeCell ref="O39:O42"/>
    <mergeCell ref="F41:F42"/>
    <mergeCell ref="H41:H42"/>
    <mergeCell ref="J41:J42"/>
    <mergeCell ref="L41:L42"/>
    <mergeCell ref="N41:N42"/>
    <mergeCell ref="P48:P49"/>
    <mergeCell ref="P64:P65"/>
    <mergeCell ref="P56:P57"/>
    <mergeCell ref="B61:B66"/>
    <mergeCell ref="G62:G63"/>
    <mergeCell ref="K62:K63"/>
    <mergeCell ref="O62:O63"/>
    <mergeCell ref="F64:F65"/>
    <mergeCell ref="H64:H65"/>
    <mergeCell ref="J64:J65"/>
    <mergeCell ref="L64:L65"/>
    <mergeCell ref="N64:N65"/>
    <mergeCell ref="B53:B58"/>
    <mergeCell ref="G54:G55"/>
    <mergeCell ref="K54:K55"/>
    <mergeCell ref="O54:O55"/>
    <mergeCell ref="F56:F57"/>
    <mergeCell ref="H56:H57"/>
    <mergeCell ref="J56:J57"/>
    <mergeCell ref="L56:L57"/>
    <mergeCell ref="N56:N57"/>
  </mergeCells>
  <printOptions horizontalCentered="1" verticalCentered="1"/>
  <pageMargins left="0" right="0" top="0" bottom="0" header="0" footer="0"/>
  <pageSetup paperSize="5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AFBA-3971-409B-893F-5329D313765B}">
  <sheetPr>
    <pageSetUpPr fitToPage="1"/>
  </sheetPr>
  <dimension ref="A1:U994"/>
  <sheetViews>
    <sheetView topLeftCell="M1" zoomScale="60" zoomScaleNormal="75" workbookViewId="0">
      <selection activeCell="U5" sqref="U5"/>
    </sheetView>
  </sheetViews>
  <sheetFormatPr baseColWidth="10" defaultColWidth="14.44140625" defaultRowHeight="15" customHeight="1" x14ac:dyDescent="0.3"/>
  <cols>
    <col min="1" max="3" width="10.6640625" customWidth="1"/>
    <col min="4" max="4" width="40.109375" bestFit="1" customWidth="1"/>
    <col min="5" max="5" width="5.88671875" customWidth="1"/>
    <col min="6" max="6" width="39.6640625" bestFit="1" customWidth="1"/>
    <col min="7" max="7" width="3.33203125" bestFit="1" customWidth="1"/>
    <col min="8" max="8" width="37.5546875" bestFit="1" customWidth="1"/>
    <col min="9" max="9" width="10.6640625" customWidth="1"/>
    <col min="10" max="10" width="36.33203125" bestFit="1" customWidth="1"/>
    <col min="11" max="11" width="3.33203125" bestFit="1" customWidth="1"/>
    <col min="12" max="12" width="40.109375" bestFit="1" customWidth="1"/>
    <col min="13" max="13" width="10.6640625" customWidth="1"/>
    <col min="14" max="14" width="37.6640625" bestFit="1" customWidth="1"/>
    <col min="15" max="15" width="3.33203125" bestFit="1" customWidth="1"/>
    <col min="16" max="16" width="39.6640625" bestFit="1" customWidth="1"/>
    <col min="17" max="17" width="2.6640625" customWidth="1"/>
    <col min="18" max="18" width="2" customWidth="1"/>
    <col min="19" max="19" width="9.5546875" customWidth="1"/>
    <col min="20" max="20" width="12.33203125" customWidth="1"/>
    <col min="21" max="21" width="33.5546875" customWidth="1"/>
    <col min="22" max="26" width="10.6640625" customWidth="1"/>
  </cols>
  <sheetData>
    <row r="1" spans="2:21" ht="38.25" customHeight="1" x14ac:dyDescent="0.3">
      <c r="F1" s="57" t="s">
        <v>54</v>
      </c>
      <c r="G1" s="57"/>
      <c r="H1" s="57"/>
    </row>
    <row r="2" spans="2:21" thickBot="1" x14ac:dyDescent="0.35">
      <c r="S2" s="55" t="s">
        <v>23</v>
      </c>
      <c r="T2" s="56"/>
      <c r="U2" s="56"/>
    </row>
    <row r="3" spans="2:21" thickBot="1" x14ac:dyDescent="0.35">
      <c r="B3" s="52" t="s">
        <v>46</v>
      </c>
      <c r="C3" s="2" t="s">
        <v>2</v>
      </c>
      <c r="D3" s="2" t="s">
        <v>3</v>
      </c>
      <c r="E3" s="2"/>
      <c r="F3" s="44" t="s">
        <v>4</v>
      </c>
      <c r="G3" s="45"/>
      <c r="H3" s="46"/>
      <c r="I3" s="33"/>
      <c r="J3" s="44" t="s">
        <v>5</v>
      </c>
      <c r="K3" s="45"/>
      <c r="L3" s="46"/>
      <c r="M3" s="2"/>
      <c r="N3" s="44" t="s">
        <v>6</v>
      </c>
      <c r="O3" s="45"/>
      <c r="P3" s="46"/>
      <c r="S3" s="1" t="s">
        <v>8</v>
      </c>
      <c r="T3" s="1" t="s">
        <v>2</v>
      </c>
      <c r="U3" s="1" t="s">
        <v>3</v>
      </c>
    </row>
    <row r="4" spans="2:21" ht="15.6" x14ac:dyDescent="0.3">
      <c r="B4" s="53"/>
      <c r="C4" s="5">
        <f>(F6-H6)+(J6-L6)+(N6-P6)</f>
        <v>0</v>
      </c>
      <c r="D4" s="6" t="str">
        <f>INDEX('Jornada 3'!D$4:D$7, MATCH(1,'Jornada 3'!E$4:E$7,0))</f>
        <v>MAURICIO ALEJANDRO BAUTISTA</v>
      </c>
      <c r="E4" s="17">
        <f t="shared" ref="E4:E7" si="0">COUNTIF(C$4:C$7,"&gt;"&amp;C4)+COUNTIF($C$4:C4,C4)</f>
        <v>1</v>
      </c>
      <c r="F4" s="20" t="str">
        <f t="shared" ref="F4:F5" si="1">D4</f>
        <v>MAURICIO ALEJANDRO BAUTISTA</v>
      </c>
      <c r="G4" s="48" t="s">
        <v>9</v>
      </c>
      <c r="H4" s="21" t="str">
        <f t="shared" ref="H4:H5" si="2">D6</f>
        <v xml:space="preserve">NICOLAS MAXIMILIANO BRILL HERRERA </v>
      </c>
      <c r="I4" s="34"/>
      <c r="J4" s="20" t="str">
        <f>D4</f>
        <v>MAURICIO ALEJANDRO BAUTISTA</v>
      </c>
      <c r="K4" s="48" t="s">
        <v>9</v>
      </c>
      <c r="L4" s="21" t="str">
        <f>D5</f>
        <v>MARIANO GOMEZ VUILLEUMIER</v>
      </c>
      <c r="M4" s="27"/>
      <c r="N4" s="20" t="str">
        <f>D4</f>
        <v>MAURICIO ALEJANDRO BAUTISTA</v>
      </c>
      <c r="O4" s="48" t="s">
        <v>9</v>
      </c>
      <c r="P4" s="21" t="str">
        <f t="shared" ref="P4:P5" si="3">D5</f>
        <v>MARIANO GOMEZ VUILLEUMIER</v>
      </c>
      <c r="R4" s="7"/>
      <c r="S4" s="7">
        <f t="shared" ref="S4:S27" si="4">COUNTIF(T$4:T$27,"&gt;"&amp;T4)+1</f>
        <v>1</v>
      </c>
      <c r="T4" s="7">
        <f>$C$4</f>
        <v>0</v>
      </c>
      <c r="U4" s="32" t="str">
        <f>$D$4</f>
        <v>MAURICIO ALEJANDRO BAUTISTA</v>
      </c>
    </row>
    <row r="5" spans="2:21" ht="15.6" x14ac:dyDescent="0.3">
      <c r="B5" s="53"/>
      <c r="C5" s="8">
        <f>(F6-H6)+(L6-J6)+(P6-N6)</f>
        <v>0</v>
      </c>
      <c r="D5" s="6" t="str">
        <f>INDEX('Jornada 3'!D$4:D$7, MATCH(2,'Jornada 3'!E$4:E$7,0))</f>
        <v>MARIANO GOMEZ VUILLEUMIER</v>
      </c>
      <c r="E5" s="17">
        <f t="shared" si="0"/>
        <v>2</v>
      </c>
      <c r="F5" s="22" t="str">
        <f t="shared" si="1"/>
        <v>MARIANO GOMEZ VUILLEUMIER</v>
      </c>
      <c r="G5" s="38"/>
      <c r="H5" s="23" t="str">
        <f t="shared" si="2"/>
        <v>MARIANO NAVARRO LEAÑO</v>
      </c>
      <c r="I5" s="34"/>
      <c r="J5" s="22" t="str">
        <f>D6</f>
        <v xml:space="preserve">NICOLAS MAXIMILIANO BRILL HERRERA </v>
      </c>
      <c r="K5" s="38"/>
      <c r="L5" s="23" t="str">
        <f>D7</f>
        <v>MARIANO NAVARRO LEAÑO</v>
      </c>
      <c r="M5" s="28"/>
      <c r="N5" s="22" t="str">
        <f>D7</f>
        <v>MARIANO NAVARRO LEAÑO</v>
      </c>
      <c r="O5" s="38"/>
      <c r="P5" s="23" t="str">
        <f t="shared" si="3"/>
        <v xml:space="preserve">NICOLAS MAXIMILIANO BRILL HERRERA </v>
      </c>
      <c r="R5" s="7"/>
      <c r="S5" s="7">
        <f t="shared" si="4"/>
        <v>1</v>
      </c>
      <c r="T5" s="7">
        <f>$C$11</f>
        <v>0</v>
      </c>
      <c r="U5" s="32" t="str">
        <f>$D$11</f>
        <v>IAN DE LA BARQUERA</v>
      </c>
    </row>
    <row r="6" spans="2:21" ht="15.6" x14ac:dyDescent="0.3">
      <c r="B6" s="53"/>
      <c r="C6" s="8">
        <f>(H6-F6)+(J6-L6)+(P6-N6)</f>
        <v>0</v>
      </c>
      <c r="D6" s="6" t="str">
        <f>IF('Jornada 3'!G70=1,INDEX('Jornada 3'!D$4:D$7,MATCH(3,'Jornada 3'!E$4:E$7,0)),INDEX('Jornada 3'!D$11:D$14,MATCH(1,'Jornada 3'!E$11:E$14,0)))</f>
        <v xml:space="preserve">NICOLAS MAXIMILIANO BRILL HERRERA </v>
      </c>
      <c r="E6" s="17">
        <f t="shared" si="0"/>
        <v>3</v>
      </c>
      <c r="F6" s="40"/>
      <c r="G6" s="38"/>
      <c r="H6" s="36"/>
      <c r="I6" s="34"/>
      <c r="J6" s="40"/>
      <c r="K6" s="38"/>
      <c r="L6" s="36"/>
      <c r="M6" s="28"/>
      <c r="N6" s="40"/>
      <c r="O6" s="38"/>
      <c r="P6" s="36"/>
      <c r="R6" s="7"/>
      <c r="S6" s="7">
        <f t="shared" si="4"/>
        <v>1</v>
      </c>
      <c r="T6" s="7">
        <f>$C$28</f>
        <v>0</v>
      </c>
      <c r="U6" s="32" t="str">
        <f>$D$28</f>
        <v>ALEJANDRO CAMARENA LOPEZ</v>
      </c>
    </row>
    <row r="7" spans="2:21" ht="16.2" thickBot="1" x14ac:dyDescent="0.35">
      <c r="B7" s="53"/>
      <c r="C7" s="8">
        <f>(H6-F6)+(L6-J6)+(N6-P6)</f>
        <v>0</v>
      </c>
      <c r="D7" s="6" t="str">
        <f>IF('Jornada 3'!G70=1,INDEX('Jornada 3'!D$11:D$14,MATCH(1,'Jornada 3'!E$11:E$14,0)),INDEX('Jornada 3'!D$11:D$14,MATCH(2,'Jornada 3'!E$11:E$14,0)))</f>
        <v>MARIANO NAVARRO LEAÑO</v>
      </c>
      <c r="E7" s="17">
        <f t="shared" si="0"/>
        <v>4</v>
      </c>
      <c r="F7" s="50"/>
      <c r="G7" s="49"/>
      <c r="H7" s="47"/>
      <c r="I7" s="34"/>
      <c r="J7" s="50"/>
      <c r="K7" s="49"/>
      <c r="L7" s="47"/>
      <c r="M7" s="28"/>
      <c r="N7" s="50"/>
      <c r="O7" s="49"/>
      <c r="P7" s="47"/>
      <c r="R7" s="7"/>
      <c r="S7" s="7">
        <f t="shared" si="4"/>
        <v>1</v>
      </c>
      <c r="T7" s="7">
        <f>$C$18</f>
        <v>0</v>
      </c>
      <c r="U7" s="32" t="str">
        <f>$D$18</f>
        <v xml:space="preserve">IKER FRANCISCO NORIEGA JIMENEZ </v>
      </c>
    </row>
    <row r="8" spans="2:21" ht="15.6" x14ac:dyDescent="0.3">
      <c r="B8" s="35"/>
      <c r="R8" s="7"/>
      <c r="S8" s="7">
        <f t="shared" si="4"/>
        <v>1</v>
      </c>
      <c r="T8" s="7">
        <f>$C$40</f>
        <v>0</v>
      </c>
      <c r="U8" s="32" t="str">
        <f>$D$40</f>
        <v>LUCAS CONTRERAS PADRÓN</v>
      </c>
    </row>
    <row r="9" spans="2:21" ht="16.2" thickBot="1" x14ac:dyDescent="0.35">
      <c r="R9" s="7"/>
      <c r="S9" s="7">
        <f t="shared" si="4"/>
        <v>1</v>
      </c>
      <c r="T9" s="7">
        <f>$C$32</f>
        <v>0</v>
      </c>
      <c r="U9" s="32" t="str">
        <f>$D$32</f>
        <v>MAXIMILIANO HERNÁNDEZ OROZCO</v>
      </c>
    </row>
    <row r="10" spans="2:21" ht="16.2" thickBot="1" x14ac:dyDescent="0.35">
      <c r="B10" s="52" t="s">
        <v>47</v>
      </c>
      <c r="C10" s="2" t="s">
        <v>2</v>
      </c>
      <c r="D10" s="2" t="s">
        <v>3</v>
      </c>
      <c r="E10" s="2"/>
      <c r="F10" s="44" t="s">
        <v>4</v>
      </c>
      <c r="G10" s="45"/>
      <c r="H10" s="46"/>
      <c r="I10" s="33"/>
      <c r="J10" s="44" t="s">
        <v>5</v>
      </c>
      <c r="K10" s="45"/>
      <c r="L10" s="46"/>
      <c r="M10" s="2"/>
      <c r="N10" s="44" t="s">
        <v>6</v>
      </c>
      <c r="O10" s="45"/>
      <c r="P10" s="46"/>
      <c r="R10" s="7"/>
      <c r="S10" s="7">
        <f t="shared" si="4"/>
        <v>1</v>
      </c>
      <c r="T10" s="7">
        <f>$C$34</f>
        <v>0</v>
      </c>
      <c r="U10" s="32" t="str">
        <f>$D$34</f>
        <v>JOSUÉ SANTIAGO PÉREZ MEDINA</v>
      </c>
    </row>
    <row r="11" spans="2:21" ht="15.6" x14ac:dyDescent="0.3">
      <c r="B11" s="53"/>
      <c r="C11" s="5">
        <f>(F13-H13)+(J13-L13)+(N13-P13)</f>
        <v>0</v>
      </c>
      <c r="D11" s="6" t="str">
        <f>IF('Jornada 3'!G$70=1,INDEX('Jornada 3'!D$4:D$7,MATCH(4,'Jornada 3'!E$4:E$7,0)),INDEX('Jornada 3'!D$4:D$7,MATCH(3,'Jornada 3'!E$4:E$7,0)))</f>
        <v>IAN DE LA BARQUERA</v>
      </c>
      <c r="E11" s="17">
        <f t="shared" ref="E11:E14" si="5">COUNTIF(C$11:C$14,"&gt;"&amp;C11)+COUNTIF($C$11:C11,C11)</f>
        <v>1</v>
      </c>
      <c r="F11" s="20" t="str">
        <f t="shared" ref="F11:F12" si="6">D11</f>
        <v>IAN DE LA BARQUERA</v>
      </c>
      <c r="G11" s="48" t="s">
        <v>9</v>
      </c>
      <c r="H11" s="21" t="str">
        <f t="shared" ref="H11:H12" si="7">D13</f>
        <v xml:space="preserve">JESUS ANTONIO SEPULVEDA RODRIGUEZ </v>
      </c>
      <c r="I11" s="34"/>
      <c r="J11" s="20" t="str">
        <f>D11</f>
        <v>IAN DE LA BARQUERA</v>
      </c>
      <c r="K11" s="48" t="s">
        <v>9</v>
      </c>
      <c r="L11" s="21" t="str">
        <f>D12</f>
        <v>ELISA CAROLINA DIAZ LAGUNA</v>
      </c>
      <c r="M11" s="27"/>
      <c r="N11" s="20" t="str">
        <f>D11</f>
        <v>IAN DE LA BARQUERA</v>
      </c>
      <c r="O11" s="48" t="s">
        <v>9</v>
      </c>
      <c r="P11" s="21" t="str">
        <f t="shared" ref="P11:P12" si="8">D12</f>
        <v>ELISA CAROLINA DIAZ LAGUNA</v>
      </c>
      <c r="R11" s="7"/>
      <c r="S11" s="7">
        <f t="shared" si="4"/>
        <v>1</v>
      </c>
      <c r="T11" s="7">
        <f>$C$39</f>
        <v>0</v>
      </c>
      <c r="U11" s="32" t="str">
        <f>$D$39</f>
        <v>LEO LUCERO KOLB</v>
      </c>
    </row>
    <row r="12" spans="2:21" ht="15.6" x14ac:dyDescent="0.3">
      <c r="B12" s="53"/>
      <c r="C12" s="8">
        <f>(F13-H13)+(L13-J13)+(P13-N13)</f>
        <v>0</v>
      </c>
      <c r="D12" s="9" t="str">
        <f>IF('Jornada 3'!G$70=1,INDEX('Jornada 3'!D$11:D$14,MATCH(2,'Jornada 3'!E$11:E$14,0)),INDEX('Jornada 3'!D$4:D$7,MATCH(4,'Jornada 3'!E$4:E$7,0)))</f>
        <v>ELISA CAROLINA DIAZ LAGUNA</v>
      </c>
      <c r="E12" s="17">
        <f t="shared" si="5"/>
        <v>2</v>
      </c>
      <c r="F12" s="22" t="str">
        <f t="shared" si="6"/>
        <v>ELISA CAROLINA DIAZ LAGUNA</v>
      </c>
      <c r="G12" s="38"/>
      <c r="H12" s="23" t="str">
        <f t="shared" si="7"/>
        <v xml:space="preserve">ALONSO CISNEROS SANCHEZ </v>
      </c>
      <c r="I12" s="34"/>
      <c r="J12" s="22" t="str">
        <f>D13</f>
        <v xml:space="preserve">JESUS ANTONIO SEPULVEDA RODRIGUEZ </v>
      </c>
      <c r="K12" s="38"/>
      <c r="L12" s="23" t="str">
        <f>D14</f>
        <v xml:space="preserve">ALONSO CISNEROS SANCHEZ </v>
      </c>
      <c r="M12" s="28"/>
      <c r="N12" s="22" t="str">
        <f>D14</f>
        <v xml:space="preserve">ALONSO CISNEROS SANCHEZ </v>
      </c>
      <c r="O12" s="38"/>
      <c r="P12" s="23" t="str">
        <f t="shared" si="8"/>
        <v xml:space="preserve">JESUS ANTONIO SEPULVEDA RODRIGUEZ </v>
      </c>
      <c r="R12" s="7"/>
      <c r="S12" s="7">
        <f t="shared" si="4"/>
        <v>1</v>
      </c>
      <c r="T12" s="7">
        <f>$C$41</f>
        <v>0</v>
      </c>
      <c r="U12" s="32" t="str">
        <f>$D$41</f>
        <v>ADRIANA ESPINOZA SALDAÑA</v>
      </c>
    </row>
    <row r="13" spans="2:21" ht="15.6" x14ac:dyDescent="0.3">
      <c r="B13" s="53"/>
      <c r="C13" s="8">
        <f>(H13-F13)+(J13-L13)+(P13-N13)</f>
        <v>0</v>
      </c>
      <c r="D13" s="9" t="str">
        <f>IF('Jornada 3'!G$70=1,INDEX('Jornada 3'!D$11:D$14,MATCH(3,'Jornada 3'!E$11:E$14,0)),INDEX('Jornada 3'!D$18:D$21,MATCH(1,'Jornada 3'!E$18:E$21,0)))</f>
        <v xml:space="preserve">JESUS ANTONIO SEPULVEDA RODRIGUEZ </v>
      </c>
      <c r="E13" s="17">
        <f t="shared" si="5"/>
        <v>3</v>
      </c>
      <c r="F13" s="40"/>
      <c r="G13" s="38"/>
      <c r="H13" s="36"/>
      <c r="I13" s="34"/>
      <c r="J13" s="40"/>
      <c r="K13" s="38"/>
      <c r="L13" s="36"/>
      <c r="M13" s="28"/>
      <c r="N13" s="40"/>
      <c r="O13" s="38"/>
      <c r="P13" s="36"/>
      <c r="R13" s="7"/>
      <c r="S13" s="7">
        <f t="shared" si="4"/>
        <v>1</v>
      </c>
      <c r="T13" s="7">
        <f>$C$33</f>
        <v>0</v>
      </c>
      <c r="U13" s="32" t="str">
        <f>$D$33</f>
        <v>ESTEFANO ROLANDO BECERRA HERNANDEZ</v>
      </c>
    </row>
    <row r="14" spans="2:21" ht="16.2" thickBot="1" x14ac:dyDescent="0.35">
      <c r="B14" s="54"/>
      <c r="C14" s="8">
        <f>(H13-F13)+(L13-J13)+(N13-P13)</f>
        <v>0</v>
      </c>
      <c r="D14" s="9" t="str">
        <f>IF('Jornada 3'!G$70=1,INDEX('Jornada 3'!D$18:D$21,MATCH(1,'Jornada 3'!E$18:E$21,0)),INDEX('Jornada 3'!D$18:D$21,MATCH(2,'Jornada 3'!E$18:E$21,0)))</f>
        <v xml:space="preserve">ALONSO CISNEROS SANCHEZ </v>
      </c>
      <c r="E14" s="17">
        <f t="shared" si="5"/>
        <v>4</v>
      </c>
      <c r="F14" s="50"/>
      <c r="G14" s="49"/>
      <c r="H14" s="47"/>
      <c r="I14" s="34"/>
      <c r="J14" s="50"/>
      <c r="K14" s="49"/>
      <c r="L14" s="47"/>
      <c r="M14" s="28"/>
      <c r="N14" s="50"/>
      <c r="O14" s="49"/>
      <c r="P14" s="47"/>
      <c r="R14" s="7"/>
      <c r="S14" s="7">
        <f t="shared" si="4"/>
        <v>1</v>
      </c>
      <c r="T14" s="7">
        <f>$C$20</f>
        <v>0</v>
      </c>
      <c r="U14" s="32" t="str">
        <f>$D$20</f>
        <v>EMILIO MATEO OLIVARES CORTÉS</v>
      </c>
    </row>
    <row r="15" spans="2:21" ht="15.6" x14ac:dyDescent="0.3">
      <c r="R15" s="7"/>
      <c r="S15" s="7">
        <f t="shared" si="4"/>
        <v>1</v>
      </c>
      <c r="T15" s="7">
        <f>$C$12</f>
        <v>0</v>
      </c>
      <c r="U15" s="32" t="str">
        <f>$D$12</f>
        <v>ELISA CAROLINA DIAZ LAGUNA</v>
      </c>
    </row>
    <row r="16" spans="2:21" ht="16.2" thickBot="1" x14ac:dyDescent="0.35">
      <c r="R16" s="7"/>
      <c r="S16" s="7">
        <f t="shared" si="4"/>
        <v>1</v>
      </c>
      <c r="T16" s="7">
        <f>$C$27</f>
        <v>0</v>
      </c>
      <c r="U16" s="32" t="str">
        <f>$D$27</f>
        <v>CAMILO RODRIGUEZ PACHECO</v>
      </c>
    </row>
    <row r="17" spans="2:21" ht="16.2" thickBot="1" x14ac:dyDescent="0.35">
      <c r="B17" s="52" t="s">
        <v>48</v>
      </c>
      <c r="C17" s="2" t="s">
        <v>2</v>
      </c>
      <c r="D17" s="2" t="s">
        <v>3</v>
      </c>
      <c r="E17" s="2"/>
      <c r="F17" s="44" t="s">
        <v>4</v>
      </c>
      <c r="G17" s="45"/>
      <c r="H17" s="46"/>
      <c r="I17" s="33"/>
      <c r="J17" s="44" t="s">
        <v>5</v>
      </c>
      <c r="K17" s="45"/>
      <c r="L17" s="46"/>
      <c r="M17" s="2"/>
      <c r="N17" s="44" t="s">
        <v>6</v>
      </c>
      <c r="O17" s="45"/>
      <c r="P17" s="46"/>
      <c r="R17" s="7"/>
      <c r="S17" s="7">
        <f t="shared" si="4"/>
        <v>1</v>
      </c>
      <c r="T17" s="7">
        <f>$C$5</f>
        <v>0</v>
      </c>
      <c r="U17" s="32" t="str">
        <f>$D$5</f>
        <v>MARIANO GOMEZ VUILLEUMIER</v>
      </c>
    </row>
    <row r="18" spans="2:21" ht="15.6" x14ac:dyDescent="0.3">
      <c r="B18" s="53"/>
      <c r="C18" s="5">
        <f>(F20-H20)+(J20-L20)+(N20-P20)</f>
        <v>0</v>
      </c>
      <c r="D18" s="6" t="str">
        <f>IF('Jornada 3'!G$70=1,INDEX('Jornada 3'!D$11:D$14,MATCH(4,'Jornada 3'!E$11:E$14,0)),INDEX('Jornada 3'!D$11:D$14,MATCH(3,'Jornada 3'!E$11:E$14,0)))</f>
        <v xml:space="preserve">IKER FRANCISCO NORIEGA JIMENEZ </v>
      </c>
      <c r="E18" s="17">
        <f t="shared" ref="E18:E21" si="9">COUNTIF(C$18:C$21,"&gt;"&amp;C18)+COUNTIF($C$18:C18,C18)</f>
        <v>1</v>
      </c>
      <c r="F18" s="20" t="str">
        <f t="shared" ref="F18:F19" si="10">D18</f>
        <v xml:space="preserve">IKER FRANCISCO NORIEGA JIMENEZ </v>
      </c>
      <c r="G18" s="48" t="s">
        <v>9</v>
      </c>
      <c r="H18" s="21" t="str">
        <f t="shared" ref="H18:H19" si="11">D20</f>
        <v>EMILIO MATEO OLIVARES CORTÉS</v>
      </c>
      <c r="I18" s="34"/>
      <c r="J18" s="20" t="str">
        <f>D18</f>
        <v xml:space="preserve">IKER FRANCISCO NORIEGA JIMENEZ </v>
      </c>
      <c r="K18" s="48" t="s">
        <v>9</v>
      </c>
      <c r="L18" s="21" t="str">
        <f>D19</f>
        <v>DIEGO PATRICIO FERNANDEZ VIERA</v>
      </c>
      <c r="M18" s="27"/>
      <c r="N18" s="20" t="str">
        <f>D18</f>
        <v xml:space="preserve">IKER FRANCISCO NORIEGA JIMENEZ </v>
      </c>
      <c r="O18" s="48" t="s">
        <v>9</v>
      </c>
      <c r="P18" s="21" t="str">
        <f t="shared" ref="P18:P19" si="12">D19</f>
        <v>DIEGO PATRICIO FERNANDEZ VIERA</v>
      </c>
      <c r="R18" s="7"/>
      <c r="S18" s="7">
        <f t="shared" si="4"/>
        <v>1</v>
      </c>
      <c r="T18" s="7">
        <f>$C$6</f>
        <v>0</v>
      </c>
      <c r="U18" s="32" t="str">
        <f>$D$6</f>
        <v xml:space="preserve">NICOLAS MAXIMILIANO BRILL HERRERA </v>
      </c>
    </row>
    <row r="19" spans="2:21" ht="15.75" customHeight="1" x14ac:dyDescent="0.3">
      <c r="B19" s="53"/>
      <c r="C19" s="8">
        <f>(F20-H20)+(L20-J20)+(P20-N20)</f>
        <v>0</v>
      </c>
      <c r="D19" s="9" t="str">
        <f>IF('Jornada 3'!G$70=1,INDEX('Jornada 3'!D$18:D$21,MATCH(2,'Jornada 3'!E$18:E$21,0)),INDEX('Jornada 3'!D$11:D$14,MATCH(4,'Jornada 3'!E$11:E$14,0)))</f>
        <v>DIEGO PATRICIO FERNANDEZ VIERA</v>
      </c>
      <c r="E19" s="17">
        <f t="shared" si="9"/>
        <v>2</v>
      </c>
      <c r="F19" s="22" t="str">
        <f t="shared" si="10"/>
        <v>DIEGO PATRICIO FERNANDEZ VIERA</v>
      </c>
      <c r="G19" s="38"/>
      <c r="H19" s="23" t="str">
        <f t="shared" si="11"/>
        <v>MIGUEL ALCARAZ AMEZCUA</v>
      </c>
      <c r="I19" s="34"/>
      <c r="J19" s="22" t="str">
        <f>D20</f>
        <v>EMILIO MATEO OLIVARES CORTÉS</v>
      </c>
      <c r="K19" s="38"/>
      <c r="L19" s="23" t="str">
        <f>D21</f>
        <v>MIGUEL ALCARAZ AMEZCUA</v>
      </c>
      <c r="M19" s="28"/>
      <c r="N19" s="22" t="str">
        <f>D21</f>
        <v>MIGUEL ALCARAZ AMEZCUA</v>
      </c>
      <c r="O19" s="38"/>
      <c r="P19" s="23" t="str">
        <f t="shared" si="12"/>
        <v>EMILIO MATEO OLIVARES CORTÉS</v>
      </c>
      <c r="R19" s="7"/>
      <c r="S19" s="7">
        <f t="shared" si="4"/>
        <v>1</v>
      </c>
      <c r="T19" s="7">
        <f>$C$14</f>
        <v>0</v>
      </c>
      <c r="U19" s="32" t="str">
        <f>$D$14</f>
        <v xml:space="preserve">ALONSO CISNEROS SANCHEZ </v>
      </c>
    </row>
    <row r="20" spans="2:21" ht="15.75" customHeight="1" x14ac:dyDescent="0.3">
      <c r="B20" s="53"/>
      <c r="C20" s="8">
        <f>(H20-F20)+(J20-L20)+(P20-N20)</f>
        <v>0</v>
      </c>
      <c r="D20" s="9" t="str">
        <f>IF('Jornada 3'!G$70=1,INDEX('Jornada 3'!D$18:D$21,MATCH(3,'Jornada 3'!E$18:E$21,0)),INDEX('Jornada 3'!D$25:D$28,MATCH(1,'Jornada 3'!E$25:E$28,0)))</f>
        <v>EMILIO MATEO OLIVARES CORTÉS</v>
      </c>
      <c r="E20" s="17">
        <f t="shared" si="9"/>
        <v>3</v>
      </c>
      <c r="F20" s="40"/>
      <c r="G20" s="38"/>
      <c r="H20" s="36"/>
      <c r="I20" s="34"/>
      <c r="J20" s="40"/>
      <c r="K20" s="38"/>
      <c r="L20" s="36"/>
      <c r="M20" s="28"/>
      <c r="N20" s="40"/>
      <c r="O20" s="38"/>
      <c r="P20" s="36"/>
      <c r="R20" s="7"/>
      <c r="S20" s="7">
        <f t="shared" si="4"/>
        <v>1</v>
      </c>
      <c r="T20" s="7">
        <f>$C$26</f>
        <v>0</v>
      </c>
      <c r="U20" s="32" t="str">
        <f>$D$26</f>
        <v>JOSE EMILIANO VAZQUEZ NUÑO</v>
      </c>
    </row>
    <row r="21" spans="2:21" ht="15.75" customHeight="1" thickBot="1" x14ac:dyDescent="0.35">
      <c r="B21" s="54"/>
      <c r="C21" s="8">
        <f>(H20-F20)+(L20-J20)+(N20-P20)</f>
        <v>0</v>
      </c>
      <c r="D21" s="9" t="str">
        <f>IF('Jornada 3'!G$70=1,INDEX('Jornada 3'!D$25:D$28,MATCH(1,'Jornada 3'!E$25:E$28,0)),INDEX('Jornada 3'!D$25:D$28,MATCH(2,'Jornada 3'!E$25:E$28,0)))</f>
        <v>MIGUEL ALCARAZ AMEZCUA</v>
      </c>
      <c r="E21" s="17">
        <f t="shared" si="9"/>
        <v>4</v>
      </c>
      <c r="F21" s="50"/>
      <c r="G21" s="49"/>
      <c r="H21" s="47"/>
      <c r="I21" s="34"/>
      <c r="J21" s="50"/>
      <c r="K21" s="49"/>
      <c r="L21" s="47"/>
      <c r="M21" s="28"/>
      <c r="N21" s="50"/>
      <c r="O21" s="49"/>
      <c r="P21" s="47"/>
      <c r="R21" s="7"/>
      <c r="S21" s="7">
        <f t="shared" si="4"/>
        <v>1</v>
      </c>
      <c r="T21" s="7">
        <f>$C$19</f>
        <v>0</v>
      </c>
      <c r="U21" s="32" t="str">
        <f>$D$19</f>
        <v>DIEGO PATRICIO FERNANDEZ VIERA</v>
      </c>
    </row>
    <row r="22" spans="2:21" ht="15.75" customHeight="1" x14ac:dyDescent="0.3">
      <c r="R22" s="7"/>
      <c r="S22" s="7">
        <f t="shared" si="4"/>
        <v>1</v>
      </c>
      <c r="T22" s="7">
        <f>$C$21</f>
        <v>0</v>
      </c>
      <c r="U22" s="32" t="str">
        <f>$D$21</f>
        <v>MIGUEL ALCARAZ AMEZCUA</v>
      </c>
    </row>
    <row r="23" spans="2:21" ht="15.75" customHeight="1" thickBot="1" x14ac:dyDescent="0.35">
      <c r="R23" s="7"/>
      <c r="S23" s="7">
        <f t="shared" si="4"/>
        <v>1</v>
      </c>
      <c r="T23" s="7">
        <f>$C$7</f>
        <v>0</v>
      </c>
      <c r="U23" s="32" t="str">
        <f>$D$7</f>
        <v>MARIANO NAVARRO LEAÑO</v>
      </c>
    </row>
    <row r="24" spans="2:21" ht="15.75" customHeight="1" thickBot="1" x14ac:dyDescent="0.35">
      <c r="B24" s="52" t="s">
        <v>49</v>
      </c>
      <c r="C24" s="2" t="s">
        <v>2</v>
      </c>
      <c r="D24" s="2" t="s">
        <v>3</v>
      </c>
      <c r="E24" s="2"/>
      <c r="F24" s="44" t="s">
        <v>4</v>
      </c>
      <c r="G24" s="45"/>
      <c r="H24" s="46"/>
      <c r="I24" s="33"/>
      <c r="J24" s="44" t="s">
        <v>5</v>
      </c>
      <c r="K24" s="45"/>
      <c r="L24" s="46"/>
      <c r="M24" s="2"/>
      <c r="N24" s="44" t="s">
        <v>6</v>
      </c>
      <c r="O24" s="45"/>
      <c r="P24" s="46"/>
      <c r="R24" s="7"/>
      <c r="S24" s="7">
        <f t="shared" si="4"/>
        <v>1</v>
      </c>
      <c r="T24" s="7">
        <f>$C$13</f>
        <v>0</v>
      </c>
      <c r="U24" s="32" t="str">
        <f>$D$13</f>
        <v xml:space="preserve">JESUS ANTONIO SEPULVEDA RODRIGUEZ </v>
      </c>
    </row>
    <row r="25" spans="2:21" ht="15.75" customHeight="1" x14ac:dyDescent="0.3">
      <c r="B25" s="53"/>
      <c r="C25" s="5">
        <f>(F27-H27)+(J27-L27)+(N27-P27)</f>
        <v>0</v>
      </c>
      <c r="D25" s="6" t="str">
        <f>IF('Jornada 3'!G$70=1,INDEX('Jornada 3'!D$18:D$21,MATCH(4,'Jornada 3'!E$18:E$21,0)),INDEX('Jornada 3'!D$18:D$21,MATCH(3,'Jornada 3'!E$18:E$21,0)))</f>
        <v>MAURICIO LOZANO CASTILLERO</v>
      </c>
      <c r="E25" s="17">
        <f t="shared" ref="E25:E28" si="13">COUNTIF(C$25:C$28,"&gt;"&amp;C25)+COUNTIF($C$25:C25,C25)</f>
        <v>1</v>
      </c>
      <c r="F25" s="20" t="str">
        <f t="shared" ref="F25:F26" si="14">D25</f>
        <v>MAURICIO LOZANO CASTILLERO</v>
      </c>
      <c r="G25" s="48" t="s">
        <v>9</v>
      </c>
      <c r="H25" s="21" t="str">
        <f t="shared" ref="H25" si="15">D27</f>
        <v>CAMILO RODRIGUEZ PACHECO</v>
      </c>
      <c r="I25" s="34"/>
      <c r="J25" s="20" t="str">
        <f>D25</f>
        <v>MAURICIO LOZANO CASTILLERO</v>
      </c>
      <c r="K25" s="48" t="s">
        <v>9</v>
      </c>
      <c r="L25" s="21" t="str">
        <f>D26</f>
        <v>JOSE EMILIANO VAZQUEZ NUÑO</v>
      </c>
      <c r="M25" s="27"/>
      <c r="N25" s="20" t="str">
        <f>D25</f>
        <v>MAURICIO LOZANO CASTILLERO</v>
      </c>
      <c r="O25" s="48" t="s">
        <v>9</v>
      </c>
      <c r="P25" s="21" t="str">
        <f t="shared" ref="P25:P26" si="16">D26</f>
        <v>JOSE EMILIANO VAZQUEZ NUÑO</v>
      </c>
      <c r="S25" s="7">
        <f t="shared" si="4"/>
        <v>1</v>
      </c>
      <c r="T25" s="7">
        <f>$C$25</f>
        <v>0</v>
      </c>
      <c r="U25" s="32" t="str">
        <f>$D$25</f>
        <v>MAURICIO LOZANO CASTILLERO</v>
      </c>
    </row>
    <row r="26" spans="2:21" ht="15.75" customHeight="1" x14ac:dyDescent="0.3">
      <c r="B26" s="53"/>
      <c r="C26" s="8">
        <f>(F27-H27)+(L27-J27)+(P27-N27)</f>
        <v>0</v>
      </c>
      <c r="D26" s="9" t="str">
        <f>IF('Jornada 3'!G$70=1,INDEX('Jornada 3'!D$25:D$28,MATCH(2,'Jornada 3'!E$25:E$28,0)),INDEX('Jornada 3'!D$18:D$21,MATCH(4,'Jornada 3'!E$18:E$21,0)))</f>
        <v>JOSE EMILIANO VAZQUEZ NUÑO</v>
      </c>
      <c r="E26" s="17">
        <f t="shared" si="13"/>
        <v>2</v>
      </c>
      <c r="F26" s="22" t="str">
        <f t="shared" si="14"/>
        <v>JOSE EMILIANO VAZQUEZ NUÑO</v>
      </c>
      <c r="G26" s="38"/>
      <c r="H26" s="23" t="str">
        <f>D28</f>
        <v>ALEJANDRO CAMARENA LOPEZ</v>
      </c>
      <c r="I26" s="34"/>
      <c r="J26" s="22" t="str">
        <f>D27</f>
        <v>CAMILO RODRIGUEZ PACHECO</v>
      </c>
      <c r="K26" s="38"/>
      <c r="L26" s="23" t="str">
        <f>D28</f>
        <v>ALEJANDRO CAMARENA LOPEZ</v>
      </c>
      <c r="M26" s="28"/>
      <c r="N26" s="22" t="str">
        <f>D28</f>
        <v>ALEJANDRO CAMARENA LOPEZ</v>
      </c>
      <c r="O26" s="38"/>
      <c r="P26" s="23" t="str">
        <f t="shared" si="16"/>
        <v>CAMILO RODRIGUEZ PACHECO</v>
      </c>
      <c r="S26" s="7">
        <f t="shared" si="4"/>
        <v>1</v>
      </c>
      <c r="T26" s="7">
        <f>$C$35</f>
        <v>0</v>
      </c>
      <c r="U26" s="32" t="str">
        <f>$D$35</f>
        <v>ALBERTO ROBLES ARMENTA</v>
      </c>
    </row>
    <row r="27" spans="2:21" ht="15.75" customHeight="1" x14ac:dyDescent="0.3">
      <c r="B27" s="53"/>
      <c r="C27" s="8">
        <f>(H27-F27)+(J27-L27)+(P27-N27)</f>
        <v>0</v>
      </c>
      <c r="D27" s="9" t="str">
        <f>IF('Jornada 3'!G$70=1,INDEX('Jornada 3'!D$25:D$28,MATCH(3,'Jornada 3'!E$25:E$28,0)),INDEX('Jornada 3'!D$32:D$35,MATCH(1,'Jornada 3'!E$32:E$35,0)))</f>
        <v>CAMILO RODRIGUEZ PACHECO</v>
      </c>
      <c r="E27" s="17">
        <f t="shared" si="13"/>
        <v>3</v>
      </c>
      <c r="F27" s="40"/>
      <c r="G27" s="38"/>
      <c r="H27" s="36"/>
      <c r="I27" s="34"/>
      <c r="J27" s="40"/>
      <c r="K27" s="38"/>
      <c r="L27" s="36"/>
      <c r="M27" s="28"/>
      <c r="N27" s="40"/>
      <c r="O27" s="38"/>
      <c r="P27" s="36"/>
      <c r="S27" s="7">
        <f t="shared" si="4"/>
        <v>1</v>
      </c>
      <c r="T27" s="7">
        <f>$C$42</f>
        <v>0</v>
      </c>
      <c r="U27" s="32" t="str">
        <f>$D$42</f>
        <v>CHRISTIAN ULISES ACOSTA LOMELI</v>
      </c>
    </row>
    <row r="28" spans="2:21" ht="15.75" customHeight="1" thickBot="1" x14ac:dyDescent="0.35">
      <c r="B28" s="54"/>
      <c r="C28" s="8">
        <f>(H27-F27)+(L27-J27)+(N27-P27)</f>
        <v>0</v>
      </c>
      <c r="D28" s="9" t="str">
        <f>IF('Jornada 3'!G$70=1,INDEX('Jornada 3'!D$32:D$35,MATCH(1,'Jornada 3'!E$32:E$35,0)),INDEX('Jornada 3'!D$32:D$35,MATCH(2,'Jornada 3'!E$32:E$35,0)))</f>
        <v>ALEJANDRO CAMARENA LOPEZ</v>
      </c>
      <c r="E28" s="17">
        <f t="shared" si="13"/>
        <v>4</v>
      </c>
      <c r="F28" s="50"/>
      <c r="G28" s="49"/>
      <c r="H28" s="47"/>
      <c r="I28" s="34"/>
      <c r="J28" s="50"/>
      <c r="K28" s="49"/>
      <c r="L28" s="47"/>
      <c r="M28" s="28"/>
      <c r="N28" s="50"/>
      <c r="O28" s="49"/>
      <c r="P28" s="47"/>
    </row>
    <row r="29" spans="2:21" ht="15.75" customHeight="1" x14ac:dyDescent="0.3"/>
    <row r="30" spans="2:21" ht="15.75" customHeight="1" thickBot="1" x14ac:dyDescent="0.35"/>
    <row r="31" spans="2:21" ht="15.75" customHeight="1" thickBot="1" x14ac:dyDescent="0.35">
      <c r="B31" s="52" t="s">
        <v>50</v>
      </c>
      <c r="C31" s="2" t="s">
        <v>2</v>
      </c>
      <c r="D31" s="2" t="s">
        <v>3</v>
      </c>
      <c r="E31" s="2"/>
      <c r="F31" s="44" t="s">
        <v>4</v>
      </c>
      <c r="G31" s="45"/>
      <c r="H31" s="46"/>
      <c r="I31" s="33"/>
      <c r="J31" s="44" t="s">
        <v>5</v>
      </c>
      <c r="K31" s="45"/>
      <c r="L31" s="46"/>
      <c r="M31" s="2"/>
      <c r="N31" s="44" t="s">
        <v>6</v>
      </c>
      <c r="O31" s="45"/>
      <c r="P31" s="46"/>
    </row>
    <row r="32" spans="2:21" ht="15.75" customHeight="1" x14ac:dyDescent="0.3">
      <c r="B32" s="53"/>
      <c r="C32" s="5">
        <f>(F34-H34)+(J34-L34)+(N34-P34)</f>
        <v>0</v>
      </c>
      <c r="D32" s="6" t="str">
        <f>IF('Jornada 3'!G$70=1,INDEX('Jornada 3'!D$25:D$28,MATCH(4,'Jornada 3'!E$25:E$28,0)),INDEX('Jornada 3'!D$25:D$28,MATCH(3,'Jornada 3'!E$25:E$28,0)))</f>
        <v>MAXIMILIANO HERNÁNDEZ OROZCO</v>
      </c>
      <c r="E32" s="17">
        <f t="shared" ref="E32:E35" si="17">COUNTIF(C$32:C$35,"&gt;"&amp;C32)+COUNTIF($C$32:C32,C32)</f>
        <v>1</v>
      </c>
      <c r="F32" s="20" t="str">
        <f t="shared" ref="F32:F33" si="18">D32</f>
        <v>MAXIMILIANO HERNÁNDEZ OROZCO</v>
      </c>
      <c r="G32" s="48" t="s">
        <v>9</v>
      </c>
      <c r="H32" s="21" t="str">
        <f t="shared" ref="H32:H33" si="19">D34</f>
        <v>JOSUÉ SANTIAGO PÉREZ MEDINA</v>
      </c>
      <c r="I32" s="34"/>
      <c r="J32" s="20" t="str">
        <f>D32</f>
        <v>MAXIMILIANO HERNÁNDEZ OROZCO</v>
      </c>
      <c r="K32" s="48" t="s">
        <v>9</v>
      </c>
      <c r="L32" s="21" t="str">
        <f>D33</f>
        <v>ESTEFANO ROLANDO BECERRA HERNANDEZ</v>
      </c>
      <c r="M32" s="27"/>
      <c r="N32" s="20" t="str">
        <f>D32</f>
        <v>MAXIMILIANO HERNÁNDEZ OROZCO</v>
      </c>
      <c r="O32" s="48" t="s">
        <v>9</v>
      </c>
      <c r="P32" s="21" t="str">
        <f t="shared" ref="P32:P33" si="20">D33</f>
        <v>ESTEFANO ROLANDO BECERRA HERNANDEZ</v>
      </c>
    </row>
    <row r="33" spans="1:16" ht="15.75" customHeight="1" x14ac:dyDescent="0.3">
      <c r="B33" s="53"/>
      <c r="C33" s="8">
        <f>(F34-H34)+(L34-J34)+(P34-N34)</f>
        <v>0</v>
      </c>
      <c r="D33" s="9" t="str">
        <f>IF('Jornada 3'!G$70=1,INDEX('Jornada 3'!D$32:D$35,MATCH(2,'Jornada 3'!E$32:E$35,0)),INDEX('Jornada 3'!D$25:D$28,MATCH(4,'Jornada 3'!E$25:E$28,0)))</f>
        <v>ESTEFANO ROLANDO BECERRA HERNANDEZ</v>
      </c>
      <c r="E33" s="17">
        <f t="shared" si="17"/>
        <v>2</v>
      </c>
      <c r="F33" s="22" t="str">
        <f t="shared" si="18"/>
        <v>ESTEFANO ROLANDO BECERRA HERNANDEZ</v>
      </c>
      <c r="G33" s="38"/>
      <c r="H33" s="23" t="str">
        <f t="shared" si="19"/>
        <v>ALBERTO ROBLES ARMENTA</v>
      </c>
      <c r="I33" s="34"/>
      <c r="J33" s="22" t="str">
        <f>D34</f>
        <v>JOSUÉ SANTIAGO PÉREZ MEDINA</v>
      </c>
      <c r="K33" s="38"/>
      <c r="L33" s="23" t="str">
        <f>D35</f>
        <v>ALBERTO ROBLES ARMENTA</v>
      </c>
      <c r="M33" s="28"/>
      <c r="N33" s="22" t="str">
        <f>D35</f>
        <v>ALBERTO ROBLES ARMENTA</v>
      </c>
      <c r="O33" s="38"/>
      <c r="P33" s="23" t="str">
        <f t="shared" si="20"/>
        <v>JOSUÉ SANTIAGO PÉREZ MEDINA</v>
      </c>
    </row>
    <row r="34" spans="1:16" ht="15.75" customHeight="1" x14ac:dyDescent="0.3">
      <c r="B34" s="53"/>
      <c r="C34" s="8">
        <f>(H34-F34)+(J34-L34)+(P34-N34)</f>
        <v>0</v>
      </c>
      <c r="D34" s="9" t="str">
        <f>IF('Jornada 3'!G$70=1,INDEX('Jornada 3'!D$32:D$35,MATCH(3,'Jornada 3'!E$32:E$35,0)),INDEX('Jornada 3'!D$39:D$42,MATCH(1,'Jornada 3'!E$39:E$42,0)))</f>
        <v>JOSUÉ SANTIAGO PÉREZ MEDINA</v>
      </c>
      <c r="E34" s="17">
        <f t="shared" si="17"/>
        <v>3</v>
      </c>
      <c r="F34" s="40"/>
      <c r="G34" s="38"/>
      <c r="H34" s="36"/>
      <c r="I34" s="34"/>
      <c r="J34" s="40"/>
      <c r="K34" s="38"/>
      <c r="L34" s="36"/>
      <c r="M34" s="28"/>
      <c r="N34" s="40"/>
      <c r="O34" s="38"/>
      <c r="P34" s="36"/>
    </row>
    <row r="35" spans="1:16" ht="15.75" customHeight="1" thickBot="1" x14ac:dyDescent="0.35">
      <c r="A35" t="s">
        <v>56</v>
      </c>
      <c r="B35" s="54"/>
      <c r="C35" s="8">
        <f>(H34-F34)+(L34-J34)+(N34-P34)</f>
        <v>0</v>
      </c>
      <c r="D35" s="9" t="str">
        <f>IF('Jornada 3'!G$70=1,INDEX('Jornada 3'!D$39:D$42,MATCH(1,'Jornada 3'!E$39:E$42,0)),INDEX('Jornada 3'!D$39:D$42,MATCH(2,'Jornada 3'!E$39:E$42,0)))</f>
        <v>ALBERTO ROBLES ARMENTA</v>
      </c>
      <c r="E35" s="17">
        <f t="shared" si="17"/>
        <v>4</v>
      </c>
      <c r="F35" s="50"/>
      <c r="G35" s="49"/>
      <c r="H35" s="47"/>
      <c r="I35" s="34"/>
      <c r="J35" s="50"/>
      <c r="K35" s="49"/>
      <c r="L35" s="47"/>
      <c r="M35" s="28"/>
      <c r="N35" s="50"/>
      <c r="O35" s="49"/>
      <c r="P35" s="47"/>
    </row>
    <row r="36" spans="1:16" ht="15.75" customHeight="1" x14ac:dyDescent="0.3"/>
    <row r="37" spans="1:16" ht="15.75" customHeight="1" thickBot="1" x14ac:dyDescent="0.35"/>
    <row r="38" spans="1:16" ht="15.75" customHeight="1" thickBot="1" x14ac:dyDescent="0.35">
      <c r="B38" s="52" t="s">
        <v>51</v>
      </c>
      <c r="C38" s="2" t="s">
        <v>2</v>
      </c>
      <c r="D38" s="2" t="s">
        <v>3</v>
      </c>
      <c r="E38" s="2"/>
      <c r="F38" s="44" t="s">
        <v>4</v>
      </c>
      <c r="G38" s="45"/>
      <c r="H38" s="46"/>
      <c r="I38" s="33"/>
      <c r="J38" s="44" t="s">
        <v>5</v>
      </c>
      <c r="K38" s="45"/>
      <c r="L38" s="46"/>
      <c r="M38" s="2"/>
      <c r="N38" s="44" t="s">
        <v>6</v>
      </c>
      <c r="O38" s="45"/>
      <c r="P38" s="46"/>
    </row>
    <row r="39" spans="1:16" ht="15.75" customHeight="1" x14ac:dyDescent="0.3">
      <c r="B39" s="53"/>
      <c r="C39" s="5">
        <f>(F41-H41)+(J41-L41)+(N41-P41)</f>
        <v>0</v>
      </c>
      <c r="D39" s="6" t="str">
        <f>IF('Jornada 3'!G$70=1,INDEX('Jornada 3'!D$32:D$35,MATCH(4,'Jornada 3'!E$32:E$35,0)),INDEX('Jornada 3'!D$32:D$35,MATCH(3,'Jornada 3'!E$32:E$35,0)))</f>
        <v>LEO LUCERO KOLB</v>
      </c>
      <c r="E39" s="6">
        <f t="shared" ref="E39:E42" si="21">COUNTIF(C$39:C$42,"&gt;"&amp;C39)+COUNTIF($C$39:C39,C39)</f>
        <v>1</v>
      </c>
      <c r="F39" s="6" t="str">
        <f t="shared" ref="F39:F40" si="22">D39</f>
        <v>LEO LUCERO KOLB</v>
      </c>
      <c r="G39" s="48" t="s">
        <v>9</v>
      </c>
      <c r="H39" s="6" t="str">
        <f>D41</f>
        <v>ADRIANA ESPINOZA SALDAÑA</v>
      </c>
      <c r="I39" s="34"/>
      <c r="J39" s="6" t="str">
        <f>D39</f>
        <v>LEO LUCERO KOLB</v>
      </c>
      <c r="K39" s="48" t="s">
        <v>9</v>
      </c>
      <c r="L39" s="6" t="str">
        <f>D40</f>
        <v>LUCAS CONTRERAS PADRÓN</v>
      </c>
      <c r="M39" s="6"/>
      <c r="N39" s="6" t="str">
        <f>D39</f>
        <v>LEO LUCERO KOLB</v>
      </c>
      <c r="O39" s="48" t="s">
        <v>9</v>
      </c>
      <c r="P39" s="6" t="str">
        <f t="shared" ref="P39" si="23">D40</f>
        <v>LUCAS CONTRERAS PADRÓN</v>
      </c>
    </row>
    <row r="40" spans="1:16" ht="15.75" customHeight="1" x14ac:dyDescent="0.3">
      <c r="B40" s="53"/>
      <c r="C40" s="8">
        <f>(F41-H41)+(L41-J41)+(P41-N41)</f>
        <v>0</v>
      </c>
      <c r="D40" s="9" t="str">
        <f>IF('Jornada 3'!G$70=1,INDEX('Jornada 3'!D$39:D$42,MATCH(2,'Jornada 3'!E$39:E$42,0)),INDEX('Jornada 3'!D$32:D$35,MATCH(4,'Jornada 3'!E$32:E$35,0)))</f>
        <v>LUCAS CONTRERAS PADRÓN</v>
      </c>
      <c r="E40" s="6">
        <f t="shared" si="21"/>
        <v>2</v>
      </c>
      <c r="F40" s="9" t="str">
        <f t="shared" si="22"/>
        <v>LUCAS CONTRERAS PADRÓN</v>
      </c>
      <c r="G40" s="38"/>
      <c r="H40" s="9" t="str">
        <f t="shared" ref="H40" si="24">D42</f>
        <v>CHRISTIAN ULISES ACOSTA LOMELI</v>
      </c>
      <c r="I40" s="34"/>
      <c r="J40" s="9" t="str">
        <f>D41</f>
        <v>ADRIANA ESPINOZA SALDAÑA</v>
      </c>
      <c r="K40" s="38"/>
      <c r="L40" s="9" t="str">
        <f>D42</f>
        <v>CHRISTIAN ULISES ACOSTA LOMELI</v>
      </c>
      <c r="M40" s="9"/>
      <c r="N40" s="9" t="str">
        <f>D42</f>
        <v>CHRISTIAN ULISES ACOSTA LOMELI</v>
      </c>
      <c r="O40" s="38"/>
      <c r="P40" s="9" t="str">
        <f>D41</f>
        <v>ADRIANA ESPINOZA SALDAÑA</v>
      </c>
    </row>
    <row r="41" spans="1:16" ht="15.75" customHeight="1" x14ac:dyDescent="0.3">
      <c r="B41" s="53"/>
      <c r="C41" s="8">
        <f>(H41-F41)+(J41-L41)+(P41-N41)</f>
        <v>0</v>
      </c>
      <c r="D41" s="9" t="str">
        <f>INDEX('Jornada 3'!D$39:D$42,MATCH(3,'Jornada 3'!E$39:E$42,0))</f>
        <v>ADRIANA ESPINOZA SALDAÑA</v>
      </c>
      <c r="E41" s="6">
        <f t="shared" si="21"/>
        <v>3</v>
      </c>
      <c r="F41" s="42"/>
      <c r="G41" s="38"/>
      <c r="H41" s="42"/>
      <c r="I41" s="34"/>
      <c r="J41" s="42"/>
      <c r="K41" s="38"/>
      <c r="L41" s="42"/>
      <c r="M41" s="9"/>
      <c r="N41" s="42"/>
      <c r="O41" s="38"/>
      <c r="P41" s="42"/>
    </row>
    <row r="42" spans="1:16" ht="15.75" customHeight="1" x14ac:dyDescent="0.3">
      <c r="B42" s="54"/>
      <c r="C42" s="8">
        <f>(H41-F41)+(L41-J41)+(N41-P41)</f>
        <v>0</v>
      </c>
      <c r="D42" s="9" t="str">
        <f>INDEX('Jornada 3'!D$39:D$42,MATCH(4,'Jornada 3'!E$39:E$42,0))</f>
        <v>CHRISTIAN ULISES ACOSTA LOMELI</v>
      </c>
      <c r="E42" s="6">
        <f t="shared" si="21"/>
        <v>4</v>
      </c>
      <c r="F42" s="39"/>
      <c r="G42" s="51"/>
      <c r="H42" s="39"/>
      <c r="I42" s="34"/>
      <c r="J42" s="39"/>
      <c r="K42" s="51"/>
      <c r="L42" s="39"/>
      <c r="M42" s="9"/>
      <c r="N42" s="39"/>
      <c r="O42" s="51"/>
      <c r="P42" s="39"/>
    </row>
    <row r="43" spans="1:16" ht="15.75" customHeight="1" x14ac:dyDescent="0.3"/>
    <row r="44" spans="1:16" ht="15.75" hidden="1" customHeight="1" x14ac:dyDescent="0.3"/>
    <row r="45" spans="1:16" ht="15.75" hidden="1" customHeight="1" x14ac:dyDescent="0.3">
      <c r="B45" s="42" t="s">
        <v>15</v>
      </c>
      <c r="C45" s="2" t="s">
        <v>2</v>
      </c>
      <c r="D45" s="2" t="s">
        <v>3</v>
      </c>
      <c r="E45" s="2"/>
      <c r="F45" s="2" t="s">
        <v>4</v>
      </c>
      <c r="G45" s="2"/>
      <c r="H45" s="2"/>
      <c r="I45" s="2"/>
      <c r="J45" s="2" t="s">
        <v>5</v>
      </c>
      <c r="K45" s="2"/>
      <c r="L45" s="2"/>
      <c r="M45" s="2"/>
      <c r="N45" s="2" t="s">
        <v>6</v>
      </c>
      <c r="O45" s="2"/>
      <c r="P45" s="3"/>
    </row>
    <row r="46" spans="1:16" ht="15.75" hidden="1" customHeight="1" x14ac:dyDescent="0.3">
      <c r="B46" s="43"/>
      <c r="C46" s="5">
        <f>(F48-H48)+(J48-L48)+(N48-P48)</f>
        <v>0</v>
      </c>
      <c r="D46" s="6" t="s">
        <v>16</v>
      </c>
      <c r="E46" s="6"/>
      <c r="F46" s="6" t="str">
        <f t="shared" ref="F46:F47" si="25">D46</f>
        <v>Jugador 1</v>
      </c>
      <c r="G46" s="38" t="s">
        <v>9</v>
      </c>
      <c r="H46" s="6" t="str">
        <f t="shared" ref="H46:H47" si="26">D48</f>
        <v>Jugador 3</v>
      </c>
      <c r="I46" s="6"/>
      <c r="J46" s="6" t="str">
        <f>D46</f>
        <v>Jugador 1</v>
      </c>
      <c r="K46" s="38" t="s">
        <v>9</v>
      </c>
      <c r="L46" s="6" t="str">
        <f>D47</f>
        <v>Jugador 2</v>
      </c>
      <c r="M46" s="6"/>
      <c r="N46" s="6" t="str">
        <f>D46</f>
        <v>Jugador 1</v>
      </c>
      <c r="O46" s="38" t="s">
        <v>9</v>
      </c>
      <c r="P46" s="6" t="str">
        <f t="shared" ref="P46:P47" si="27">D47</f>
        <v>Jugador 2</v>
      </c>
    </row>
    <row r="47" spans="1:16" ht="15.75" hidden="1" customHeight="1" x14ac:dyDescent="0.3">
      <c r="B47" s="43"/>
      <c r="C47" s="8">
        <f>(F48-H48)+(L48-J48)+(P48-N48)</f>
        <v>0</v>
      </c>
      <c r="D47" s="9" t="s">
        <v>17</v>
      </c>
      <c r="E47" s="9"/>
      <c r="F47" s="9" t="str">
        <f t="shared" si="25"/>
        <v>Jugador 2</v>
      </c>
      <c r="G47" s="39"/>
      <c r="H47" s="9" t="str">
        <f t="shared" si="26"/>
        <v>Jugador 4</v>
      </c>
      <c r="I47" s="9"/>
      <c r="J47" s="9" t="str">
        <f>D48</f>
        <v>Jugador 3</v>
      </c>
      <c r="K47" s="39"/>
      <c r="L47" s="9" t="str">
        <f>D49</f>
        <v>Jugador 4</v>
      </c>
      <c r="M47" s="9"/>
      <c r="N47" s="9" t="str">
        <f>D49</f>
        <v>Jugador 4</v>
      </c>
      <c r="O47" s="39"/>
      <c r="P47" s="9" t="str">
        <f t="shared" si="27"/>
        <v>Jugador 3</v>
      </c>
    </row>
    <row r="48" spans="1:16" ht="15.75" hidden="1" customHeight="1" x14ac:dyDescent="0.3">
      <c r="B48" s="43"/>
      <c r="C48" s="8">
        <f>(H48-F48)+(J48-L48)+(P48-N48)</f>
        <v>0</v>
      </c>
      <c r="D48" s="9" t="s">
        <v>18</v>
      </c>
      <c r="E48" s="9"/>
      <c r="F48" s="42"/>
      <c r="G48" s="9"/>
      <c r="H48" s="42"/>
      <c r="I48" s="9"/>
      <c r="J48" s="42"/>
      <c r="K48" s="9"/>
      <c r="L48" s="42"/>
      <c r="M48" s="9"/>
      <c r="N48" s="42"/>
      <c r="O48" s="9"/>
      <c r="P48" s="42"/>
    </row>
    <row r="49" spans="2:16" ht="15.75" hidden="1" customHeight="1" x14ac:dyDescent="0.3">
      <c r="B49" s="43"/>
      <c r="C49" s="8">
        <f>(H48-F48)+(L48-J48)+(N48-P48)</f>
        <v>0</v>
      </c>
      <c r="D49" s="9" t="s">
        <v>19</v>
      </c>
      <c r="E49" s="9"/>
      <c r="F49" s="39"/>
      <c r="G49" s="9"/>
      <c r="H49" s="39"/>
      <c r="I49" s="9"/>
      <c r="J49" s="39"/>
      <c r="K49" s="9"/>
      <c r="L49" s="39"/>
      <c r="M49" s="9"/>
      <c r="N49" s="39"/>
      <c r="O49" s="9"/>
      <c r="P49" s="39"/>
    </row>
    <row r="50" spans="2:16" ht="15.75" hidden="1" customHeight="1" x14ac:dyDescent="0.3">
      <c r="B50" s="39"/>
      <c r="C50" s="1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5.75" hidden="1" customHeight="1" x14ac:dyDescent="0.3"/>
    <row r="52" spans="2:16" ht="15.75" hidden="1" customHeight="1" x14ac:dyDescent="0.3"/>
    <row r="53" spans="2:16" ht="15.75" hidden="1" customHeight="1" x14ac:dyDescent="0.3">
      <c r="B53" s="42" t="s">
        <v>20</v>
      </c>
      <c r="C53" s="2" t="s">
        <v>2</v>
      </c>
      <c r="D53" s="2" t="s">
        <v>3</v>
      </c>
      <c r="E53" s="2"/>
      <c r="F53" s="2" t="s">
        <v>4</v>
      </c>
      <c r="G53" s="2"/>
      <c r="H53" s="2"/>
      <c r="I53" s="2"/>
      <c r="J53" s="2" t="s">
        <v>5</v>
      </c>
      <c r="K53" s="2"/>
      <c r="L53" s="2"/>
      <c r="M53" s="2"/>
      <c r="N53" s="2" t="s">
        <v>6</v>
      </c>
      <c r="O53" s="2"/>
      <c r="P53" s="3"/>
    </row>
    <row r="54" spans="2:16" ht="15.75" hidden="1" customHeight="1" x14ac:dyDescent="0.3">
      <c r="B54" s="43"/>
      <c r="C54" s="5">
        <f>(F56-H56)+(J56-L56)+(N56-P56)</f>
        <v>0</v>
      </c>
      <c r="D54" s="6" t="s">
        <v>16</v>
      </c>
      <c r="E54" s="6"/>
      <c r="F54" s="6" t="str">
        <f t="shared" ref="F54:F55" si="28">D54</f>
        <v>Jugador 1</v>
      </c>
      <c r="G54" s="38" t="s">
        <v>9</v>
      </c>
      <c r="H54" s="6" t="str">
        <f t="shared" ref="H54:H55" si="29">D56</f>
        <v>Jugador 3</v>
      </c>
      <c r="I54" s="6"/>
      <c r="J54" s="6" t="str">
        <f>D54</f>
        <v>Jugador 1</v>
      </c>
      <c r="K54" s="38" t="s">
        <v>9</v>
      </c>
      <c r="L54" s="6" t="str">
        <f>D55</f>
        <v>Jugador 2</v>
      </c>
      <c r="M54" s="6"/>
      <c r="N54" s="6" t="str">
        <f>D54</f>
        <v>Jugador 1</v>
      </c>
      <c r="O54" s="38" t="s">
        <v>9</v>
      </c>
      <c r="P54" s="6" t="str">
        <f t="shared" ref="P54:P55" si="30">D55</f>
        <v>Jugador 2</v>
      </c>
    </row>
    <row r="55" spans="2:16" ht="15.75" hidden="1" customHeight="1" x14ac:dyDescent="0.3">
      <c r="B55" s="43"/>
      <c r="C55" s="8">
        <f>(F56-H56)+(L56-J56)+(P56-N56)</f>
        <v>0</v>
      </c>
      <c r="D55" s="9" t="s">
        <v>17</v>
      </c>
      <c r="E55" s="9"/>
      <c r="F55" s="9" t="str">
        <f t="shared" si="28"/>
        <v>Jugador 2</v>
      </c>
      <c r="G55" s="39"/>
      <c r="H55" s="9" t="str">
        <f t="shared" si="29"/>
        <v>Jugador 4</v>
      </c>
      <c r="I55" s="9"/>
      <c r="J55" s="9" t="str">
        <f>D56</f>
        <v>Jugador 3</v>
      </c>
      <c r="K55" s="39"/>
      <c r="L55" s="9" t="str">
        <f>D57</f>
        <v>Jugador 4</v>
      </c>
      <c r="M55" s="9"/>
      <c r="N55" s="9" t="str">
        <f>D57</f>
        <v>Jugador 4</v>
      </c>
      <c r="O55" s="39"/>
      <c r="P55" s="9" t="str">
        <f t="shared" si="30"/>
        <v>Jugador 3</v>
      </c>
    </row>
    <row r="56" spans="2:16" ht="15.75" hidden="1" customHeight="1" x14ac:dyDescent="0.3">
      <c r="B56" s="43"/>
      <c r="C56" s="8">
        <f>(H56-F56)+(J56-L56)+(P56-N56)</f>
        <v>0</v>
      </c>
      <c r="D56" s="9" t="s">
        <v>18</v>
      </c>
      <c r="E56" s="9"/>
      <c r="F56" s="42"/>
      <c r="G56" s="9"/>
      <c r="H56" s="42"/>
      <c r="I56" s="9"/>
      <c r="J56" s="42"/>
      <c r="K56" s="9"/>
      <c r="L56" s="42"/>
      <c r="M56" s="9"/>
      <c r="N56" s="42"/>
      <c r="O56" s="9"/>
      <c r="P56" s="42"/>
    </row>
    <row r="57" spans="2:16" ht="15.75" hidden="1" customHeight="1" x14ac:dyDescent="0.3">
      <c r="B57" s="43"/>
      <c r="C57" s="8">
        <f>(H56-F56)+(L56-J56)+(N56-P56)</f>
        <v>0</v>
      </c>
      <c r="D57" s="9" t="s">
        <v>19</v>
      </c>
      <c r="E57" s="9"/>
      <c r="F57" s="39"/>
      <c r="G57" s="9"/>
      <c r="H57" s="39"/>
      <c r="I57" s="9"/>
      <c r="J57" s="39"/>
      <c r="K57" s="9"/>
      <c r="L57" s="39"/>
      <c r="M57" s="9"/>
      <c r="N57" s="39"/>
      <c r="O57" s="9"/>
      <c r="P57" s="39"/>
    </row>
    <row r="58" spans="2:16" ht="15.75" hidden="1" customHeight="1" x14ac:dyDescent="0.3">
      <c r="B58" s="39"/>
      <c r="C58" s="1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5.75" hidden="1" customHeight="1" x14ac:dyDescent="0.3"/>
    <row r="60" spans="2:16" ht="15.75" hidden="1" customHeight="1" x14ac:dyDescent="0.3"/>
    <row r="61" spans="2:16" ht="15.75" hidden="1" customHeight="1" x14ac:dyDescent="0.3">
      <c r="B61" s="42" t="s">
        <v>21</v>
      </c>
      <c r="C61" s="2" t="s">
        <v>2</v>
      </c>
      <c r="D61" s="2" t="s">
        <v>3</v>
      </c>
      <c r="E61" s="2"/>
      <c r="F61" s="2" t="s">
        <v>4</v>
      </c>
      <c r="G61" s="2"/>
      <c r="H61" s="2"/>
      <c r="I61" s="2"/>
      <c r="J61" s="2" t="s">
        <v>5</v>
      </c>
      <c r="K61" s="2"/>
      <c r="L61" s="2"/>
      <c r="M61" s="2"/>
      <c r="N61" s="2" t="s">
        <v>6</v>
      </c>
      <c r="O61" s="2"/>
      <c r="P61" s="3"/>
    </row>
    <row r="62" spans="2:16" ht="15.75" hidden="1" customHeight="1" x14ac:dyDescent="0.3">
      <c r="B62" s="43"/>
      <c r="C62" s="5">
        <f>(F64-H64)+(J64-L64)+(N64-P64)</f>
        <v>0</v>
      </c>
      <c r="D62" s="6" t="s">
        <v>16</v>
      </c>
      <c r="E62" s="6"/>
      <c r="F62" s="6" t="str">
        <f t="shared" ref="F62:F63" si="31">D62</f>
        <v>Jugador 1</v>
      </c>
      <c r="G62" s="38" t="s">
        <v>9</v>
      </c>
      <c r="H62" s="6" t="str">
        <f t="shared" ref="H62:H63" si="32">D64</f>
        <v>Jugador 3</v>
      </c>
      <c r="I62" s="6"/>
      <c r="J62" s="6" t="str">
        <f>D62</f>
        <v>Jugador 1</v>
      </c>
      <c r="K62" s="38" t="s">
        <v>9</v>
      </c>
      <c r="L62" s="6" t="str">
        <f>D63</f>
        <v>Jugador 2</v>
      </c>
      <c r="M62" s="6"/>
      <c r="N62" s="6" t="str">
        <f>D62</f>
        <v>Jugador 1</v>
      </c>
      <c r="O62" s="38" t="s">
        <v>9</v>
      </c>
      <c r="P62" s="6" t="str">
        <f t="shared" ref="P62:P63" si="33">D63</f>
        <v>Jugador 2</v>
      </c>
    </row>
    <row r="63" spans="2:16" ht="15.75" hidden="1" customHeight="1" x14ac:dyDescent="0.3">
      <c r="B63" s="43"/>
      <c r="C63" s="8">
        <f>(F64-H64)+(L64-J64)+(P64-N64)</f>
        <v>0</v>
      </c>
      <c r="D63" s="9" t="s">
        <v>17</v>
      </c>
      <c r="E63" s="9"/>
      <c r="F63" s="9" t="str">
        <f t="shared" si="31"/>
        <v>Jugador 2</v>
      </c>
      <c r="G63" s="39"/>
      <c r="H63" s="9" t="str">
        <f t="shared" si="32"/>
        <v>Jugador 4</v>
      </c>
      <c r="I63" s="9"/>
      <c r="J63" s="9" t="str">
        <f>D64</f>
        <v>Jugador 3</v>
      </c>
      <c r="K63" s="39"/>
      <c r="L63" s="9" t="str">
        <f>D65</f>
        <v>Jugador 4</v>
      </c>
      <c r="M63" s="9"/>
      <c r="N63" s="9" t="str">
        <f>D65</f>
        <v>Jugador 4</v>
      </c>
      <c r="O63" s="39"/>
      <c r="P63" s="9" t="str">
        <f t="shared" si="33"/>
        <v>Jugador 3</v>
      </c>
    </row>
    <row r="64" spans="2:16" ht="15.75" hidden="1" customHeight="1" x14ac:dyDescent="0.3">
      <c r="B64" s="43"/>
      <c r="C64" s="8">
        <f>(H64-F64)+(J64-L64)+(P64-N64)</f>
        <v>0</v>
      </c>
      <c r="D64" s="9" t="s">
        <v>18</v>
      </c>
      <c r="E64" s="9"/>
      <c r="F64" s="42"/>
      <c r="G64" s="9"/>
      <c r="H64" s="42"/>
      <c r="I64" s="9"/>
      <c r="J64" s="42"/>
      <c r="K64" s="9"/>
      <c r="L64" s="42"/>
      <c r="M64" s="9"/>
      <c r="N64" s="42"/>
      <c r="O64" s="9"/>
      <c r="P64" s="42"/>
    </row>
    <row r="65" spans="2:16" ht="15.75" hidden="1" customHeight="1" x14ac:dyDescent="0.3">
      <c r="B65" s="43"/>
      <c r="C65" s="8">
        <f>(H64-F64)+(L64-J64)+(N64-P64)</f>
        <v>0</v>
      </c>
      <c r="D65" s="9" t="s">
        <v>19</v>
      </c>
      <c r="E65" s="9"/>
      <c r="F65" s="39"/>
      <c r="G65" s="9"/>
      <c r="H65" s="39"/>
      <c r="I65" s="9"/>
      <c r="J65" s="39"/>
      <c r="K65" s="9"/>
      <c r="L65" s="39"/>
      <c r="M65" s="9"/>
      <c r="N65" s="39"/>
      <c r="O65" s="9"/>
      <c r="P65" s="39"/>
    </row>
    <row r="66" spans="2:16" ht="15.75" hidden="1" customHeight="1" x14ac:dyDescent="0.3">
      <c r="B66" s="39"/>
      <c r="C66" s="1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5.75" hidden="1" customHeight="1" x14ac:dyDescent="0.3"/>
    <row r="68" spans="2:16" ht="15.75" hidden="1" customHeight="1" x14ac:dyDescent="0.3"/>
    <row r="69" spans="2:16" ht="15.75" hidden="1" customHeight="1" x14ac:dyDescent="0.3"/>
    <row r="70" spans="2:16" ht="15.75" customHeight="1" x14ac:dyDescent="0.3">
      <c r="F70" s="1" t="s">
        <v>22</v>
      </c>
      <c r="G70" s="1">
        <v>2</v>
      </c>
    </row>
    <row r="71" spans="2:16" ht="15.75" customHeight="1" x14ac:dyDescent="0.3"/>
    <row r="72" spans="2:16" ht="15.75" customHeight="1" x14ac:dyDescent="0.3"/>
    <row r="73" spans="2:16" ht="15.75" customHeight="1" x14ac:dyDescent="0.3"/>
    <row r="74" spans="2:16" ht="15.75" customHeight="1" x14ac:dyDescent="0.3"/>
    <row r="75" spans="2:16" ht="15.75" customHeight="1" x14ac:dyDescent="0.3"/>
    <row r="76" spans="2:16" ht="15.75" customHeight="1" x14ac:dyDescent="0.3"/>
    <row r="77" spans="2:16" ht="15.75" customHeight="1" x14ac:dyDescent="0.3"/>
    <row r="78" spans="2:16" ht="15.75" customHeight="1" x14ac:dyDescent="0.3"/>
    <row r="79" spans="2:16" ht="15.75" customHeight="1" x14ac:dyDescent="0.3"/>
    <row r="80" spans="2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10">
    <mergeCell ref="P64:P65"/>
    <mergeCell ref="P56:P57"/>
    <mergeCell ref="B61:B66"/>
    <mergeCell ref="G62:G63"/>
    <mergeCell ref="K62:K63"/>
    <mergeCell ref="O62:O63"/>
    <mergeCell ref="F64:F65"/>
    <mergeCell ref="H64:H65"/>
    <mergeCell ref="J64:J65"/>
    <mergeCell ref="L64:L65"/>
    <mergeCell ref="N64:N65"/>
    <mergeCell ref="B53:B58"/>
    <mergeCell ref="G54:G55"/>
    <mergeCell ref="K54:K55"/>
    <mergeCell ref="O54:O55"/>
    <mergeCell ref="F56:F57"/>
    <mergeCell ref="H56:H57"/>
    <mergeCell ref="J56:J57"/>
    <mergeCell ref="L56:L57"/>
    <mergeCell ref="N56:N57"/>
    <mergeCell ref="B38:B42"/>
    <mergeCell ref="F38:H38"/>
    <mergeCell ref="J38:L38"/>
    <mergeCell ref="N38:P38"/>
    <mergeCell ref="G39:G42"/>
    <mergeCell ref="K39:K42"/>
    <mergeCell ref="P41:P42"/>
    <mergeCell ref="B45:B50"/>
    <mergeCell ref="G46:G47"/>
    <mergeCell ref="K46:K47"/>
    <mergeCell ref="O46:O47"/>
    <mergeCell ref="F48:F49"/>
    <mergeCell ref="H48:H49"/>
    <mergeCell ref="J48:J49"/>
    <mergeCell ref="L48:L49"/>
    <mergeCell ref="N48:N49"/>
    <mergeCell ref="O39:O42"/>
    <mergeCell ref="F41:F42"/>
    <mergeCell ref="H41:H42"/>
    <mergeCell ref="J41:J42"/>
    <mergeCell ref="L41:L42"/>
    <mergeCell ref="N41:N42"/>
    <mergeCell ref="P48:P49"/>
    <mergeCell ref="B31:B35"/>
    <mergeCell ref="F31:H31"/>
    <mergeCell ref="J31:L31"/>
    <mergeCell ref="N31:P31"/>
    <mergeCell ref="G32:G35"/>
    <mergeCell ref="K32:K35"/>
    <mergeCell ref="O32:O35"/>
    <mergeCell ref="F34:F35"/>
    <mergeCell ref="H34:H35"/>
    <mergeCell ref="J34:J35"/>
    <mergeCell ref="L34:L35"/>
    <mergeCell ref="N34:N35"/>
    <mergeCell ref="P34:P35"/>
    <mergeCell ref="N20:N21"/>
    <mergeCell ref="P20:P21"/>
    <mergeCell ref="B24:B28"/>
    <mergeCell ref="F24:H24"/>
    <mergeCell ref="J24:L24"/>
    <mergeCell ref="N24:P24"/>
    <mergeCell ref="G25:G28"/>
    <mergeCell ref="K25:K28"/>
    <mergeCell ref="P27:P28"/>
    <mergeCell ref="O25:O28"/>
    <mergeCell ref="F27:F28"/>
    <mergeCell ref="H27:H28"/>
    <mergeCell ref="J27:J28"/>
    <mergeCell ref="L27:L28"/>
    <mergeCell ref="N27:N28"/>
    <mergeCell ref="B10:B14"/>
    <mergeCell ref="F10:H10"/>
    <mergeCell ref="J10:L10"/>
    <mergeCell ref="N10:P10"/>
    <mergeCell ref="G11:G14"/>
    <mergeCell ref="P13:P14"/>
    <mergeCell ref="B17:B21"/>
    <mergeCell ref="F17:H17"/>
    <mergeCell ref="J17:L17"/>
    <mergeCell ref="N17:P17"/>
    <mergeCell ref="G18:G21"/>
    <mergeCell ref="K18:K21"/>
    <mergeCell ref="O18:O21"/>
    <mergeCell ref="F20:F21"/>
    <mergeCell ref="H20:H21"/>
    <mergeCell ref="K11:K14"/>
    <mergeCell ref="O11:O14"/>
    <mergeCell ref="F13:F14"/>
    <mergeCell ref="H13:H14"/>
    <mergeCell ref="J13:J14"/>
    <mergeCell ref="L13:L14"/>
    <mergeCell ref="N13:N14"/>
    <mergeCell ref="J20:J21"/>
    <mergeCell ref="L20:L21"/>
    <mergeCell ref="F1:H1"/>
    <mergeCell ref="S2:U2"/>
    <mergeCell ref="B3:B7"/>
    <mergeCell ref="F3:H3"/>
    <mergeCell ref="J3:L3"/>
    <mergeCell ref="N3:P3"/>
    <mergeCell ref="G4:G7"/>
    <mergeCell ref="K4:K7"/>
    <mergeCell ref="O4:O7"/>
    <mergeCell ref="F6:F7"/>
    <mergeCell ref="H6:H7"/>
    <mergeCell ref="J6:J7"/>
    <mergeCell ref="L6:L7"/>
    <mergeCell ref="N6:N7"/>
    <mergeCell ref="P6:P7"/>
  </mergeCells>
  <printOptions horizontalCentered="1" verticalCentered="1"/>
  <pageMargins left="0" right="0" top="0" bottom="0" header="0" footer="0"/>
  <pageSetup paperSize="5" scale="4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9315-A0C2-43BA-85E4-DE0E04422E3F}">
  <sheetPr>
    <pageSetUpPr fitToPage="1"/>
  </sheetPr>
  <dimension ref="A1:U994"/>
  <sheetViews>
    <sheetView topLeftCell="K1" zoomScale="60" zoomScaleNormal="75" workbookViewId="0">
      <selection activeCell="S6" sqref="S6"/>
    </sheetView>
  </sheetViews>
  <sheetFormatPr baseColWidth="10" defaultColWidth="14.44140625" defaultRowHeight="15" customHeight="1" x14ac:dyDescent="0.3"/>
  <cols>
    <col min="1" max="3" width="10.6640625" customWidth="1"/>
    <col min="4" max="4" width="40.109375" bestFit="1" customWidth="1"/>
    <col min="5" max="5" width="5.88671875" customWidth="1"/>
    <col min="6" max="6" width="39.6640625" bestFit="1" customWidth="1"/>
    <col min="7" max="7" width="3.33203125" bestFit="1" customWidth="1"/>
    <col min="8" max="8" width="37.5546875" bestFit="1" customWidth="1"/>
    <col min="9" max="9" width="10.6640625" customWidth="1"/>
    <col min="10" max="10" width="36.33203125" bestFit="1" customWidth="1"/>
    <col min="11" max="11" width="3.33203125" bestFit="1" customWidth="1"/>
    <col min="12" max="12" width="40.109375" bestFit="1" customWidth="1"/>
    <col min="13" max="13" width="10.6640625" customWidth="1"/>
    <col min="14" max="14" width="37.6640625" bestFit="1" customWidth="1"/>
    <col min="15" max="15" width="3.33203125" bestFit="1" customWidth="1"/>
    <col min="16" max="16" width="39.6640625" bestFit="1" customWidth="1"/>
    <col min="17" max="17" width="2.6640625" customWidth="1"/>
    <col min="18" max="18" width="2" customWidth="1"/>
    <col min="19" max="19" width="9.5546875" customWidth="1"/>
    <col min="20" max="20" width="19" customWidth="1"/>
    <col min="21" max="21" width="43.21875" customWidth="1"/>
    <col min="22" max="26" width="10.6640625" customWidth="1"/>
  </cols>
  <sheetData>
    <row r="1" spans="2:21" ht="38.25" customHeight="1" x14ac:dyDescent="0.3">
      <c r="F1" s="57" t="s">
        <v>54</v>
      </c>
      <c r="G1" s="57"/>
      <c r="H1" s="57"/>
    </row>
    <row r="2" spans="2:21" thickBot="1" x14ac:dyDescent="0.35">
      <c r="S2" s="55" t="s">
        <v>23</v>
      </c>
      <c r="T2" s="56"/>
      <c r="U2" s="56"/>
    </row>
    <row r="3" spans="2:21" thickBot="1" x14ac:dyDescent="0.35">
      <c r="B3" s="52" t="s">
        <v>46</v>
      </c>
      <c r="C3" s="2" t="s">
        <v>2</v>
      </c>
      <c r="D3" s="2" t="s">
        <v>3</v>
      </c>
      <c r="E3" s="2"/>
      <c r="F3" s="44" t="s">
        <v>4</v>
      </c>
      <c r="G3" s="45"/>
      <c r="H3" s="46"/>
      <c r="I3" s="33"/>
      <c r="J3" s="44" t="s">
        <v>5</v>
      </c>
      <c r="K3" s="45"/>
      <c r="L3" s="46"/>
      <c r="M3" s="2"/>
      <c r="N3" s="44" t="s">
        <v>6</v>
      </c>
      <c r="O3" s="45"/>
      <c r="P3" s="46"/>
      <c r="S3" s="1" t="s">
        <v>8</v>
      </c>
      <c r="T3" s="1" t="s">
        <v>2</v>
      </c>
      <c r="U3" s="1" t="s">
        <v>3</v>
      </c>
    </row>
    <row r="4" spans="2:21" ht="15.6" x14ac:dyDescent="0.3">
      <c r="B4" s="53"/>
      <c r="C4" s="5">
        <f>(F6-H6)+(J6-L6)+(N6-P6)</f>
        <v>0</v>
      </c>
      <c r="D4" s="6" t="str">
        <f>INDEX('Jornada 4'!D$4:D$7, MATCH(1,'Jornada 4'!E$4:E$7,0))</f>
        <v>MAURICIO ALEJANDRO BAUTISTA</v>
      </c>
      <c r="E4" s="17">
        <f t="shared" ref="E4:E7" si="0">COUNTIF(C$4:C$7,"&gt;"&amp;C4)+COUNTIF($C$4:C4,C4)</f>
        <v>1</v>
      </c>
      <c r="F4" s="20" t="str">
        <f t="shared" ref="F4:F5" si="1">D4</f>
        <v>MAURICIO ALEJANDRO BAUTISTA</v>
      </c>
      <c r="G4" s="48" t="s">
        <v>9</v>
      </c>
      <c r="H4" s="21" t="str">
        <f t="shared" ref="H4:H5" si="2">D6</f>
        <v>IAN DE LA BARQUERA</v>
      </c>
      <c r="I4" s="34"/>
      <c r="J4" s="20" t="str">
        <f>D4</f>
        <v>MAURICIO ALEJANDRO BAUTISTA</v>
      </c>
      <c r="K4" s="48" t="s">
        <v>9</v>
      </c>
      <c r="L4" s="21" t="str">
        <f>D5</f>
        <v>MARIANO GOMEZ VUILLEUMIER</v>
      </c>
      <c r="M4" s="27"/>
      <c r="N4" s="20" t="str">
        <f>D4</f>
        <v>MAURICIO ALEJANDRO BAUTISTA</v>
      </c>
      <c r="O4" s="48" t="s">
        <v>9</v>
      </c>
      <c r="P4" s="21" t="str">
        <f t="shared" ref="P4:P5" si="3">D5</f>
        <v>MARIANO GOMEZ VUILLEUMIER</v>
      </c>
      <c r="R4" s="7"/>
      <c r="S4" s="7">
        <f>COUNTIF(T$4:T$27,"&gt;"&amp;T4)+1</f>
        <v>1</v>
      </c>
      <c r="T4" s="7">
        <f>$C$4</f>
        <v>0</v>
      </c>
      <c r="U4" s="32" t="str">
        <f>$D$4</f>
        <v>MAURICIO ALEJANDRO BAUTISTA</v>
      </c>
    </row>
    <row r="5" spans="2:21" ht="15.6" x14ac:dyDescent="0.3">
      <c r="B5" s="53"/>
      <c r="C5" s="8">
        <f>(F6-H6)+(L6-J6)+(P6-N6)</f>
        <v>0</v>
      </c>
      <c r="D5" s="6" t="str">
        <f>INDEX('Jornada 4'!D$4:D$7, MATCH(2,'Jornada 4'!E$4:E$7,0))</f>
        <v>MARIANO GOMEZ VUILLEUMIER</v>
      </c>
      <c r="E5" s="17">
        <f t="shared" si="0"/>
        <v>2</v>
      </c>
      <c r="F5" s="22" t="str">
        <f t="shared" si="1"/>
        <v>MARIANO GOMEZ VUILLEUMIER</v>
      </c>
      <c r="G5" s="38"/>
      <c r="H5" s="23" t="str">
        <f t="shared" si="2"/>
        <v>ELISA CAROLINA DIAZ LAGUNA</v>
      </c>
      <c r="I5" s="34"/>
      <c r="J5" s="22" t="str">
        <f>D6</f>
        <v>IAN DE LA BARQUERA</v>
      </c>
      <c r="K5" s="38"/>
      <c r="L5" s="23" t="str">
        <f>D7</f>
        <v>ELISA CAROLINA DIAZ LAGUNA</v>
      </c>
      <c r="M5" s="28"/>
      <c r="N5" s="22" t="str">
        <f>D7</f>
        <v>ELISA CAROLINA DIAZ LAGUNA</v>
      </c>
      <c r="O5" s="38"/>
      <c r="P5" s="23" t="str">
        <f t="shared" si="3"/>
        <v>IAN DE LA BARQUERA</v>
      </c>
      <c r="R5" s="7"/>
      <c r="S5" s="7">
        <f>COUNTIF(T$4:T$27,"&gt;"&amp;T5)+1</f>
        <v>1</v>
      </c>
      <c r="T5" s="7">
        <f>$C$11</f>
        <v>0</v>
      </c>
      <c r="U5" s="32" t="str">
        <f>$D$11</f>
        <v xml:space="preserve">NICOLAS MAXIMILIANO BRILL HERRERA </v>
      </c>
    </row>
    <row r="6" spans="2:21" ht="15.6" x14ac:dyDescent="0.3">
      <c r="B6" s="53"/>
      <c r="C6" s="8">
        <f>(H6-F6)+(J6-L6)+(P6-N6)</f>
        <v>0</v>
      </c>
      <c r="D6" s="6" t="str">
        <f>IF('Jornada 4'!G70=1,INDEX('Jornada 4'!D$4:D$7,MATCH(3,'Jornada 4'!E$4:E$7,0)),INDEX('Jornada 4'!D$11:D$14,MATCH(1,'Jornada 4'!E$11:E$14,0)))</f>
        <v>IAN DE LA BARQUERA</v>
      </c>
      <c r="E6" s="17">
        <f t="shared" si="0"/>
        <v>3</v>
      </c>
      <c r="F6" s="40"/>
      <c r="G6" s="38"/>
      <c r="H6" s="36"/>
      <c r="I6" s="34"/>
      <c r="J6" s="40"/>
      <c r="K6" s="38"/>
      <c r="L6" s="36"/>
      <c r="M6" s="28"/>
      <c r="N6" s="40"/>
      <c r="O6" s="38"/>
      <c r="P6" s="36"/>
      <c r="R6" s="7"/>
      <c r="S6" s="7">
        <f>COUNTIF(T$4:T$27,"&gt;"&amp;T6)+1</f>
        <v>1</v>
      </c>
      <c r="T6" s="7">
        <f>$C$28</f>
        <v>0</v>
      </c>
      <c r="U6" s="32" t="str">
        <f>$D$28</f>
        <v>ESTEFANO ROLANDO BECERRA HERNANDEZ</v>
      </c>
    </row>
    <row r="7" spans="2:21" ht="16.2" thickBot="1" x14ac:dyDescent="0.35">
      <c r="B7" s="53"/>
      <c r="C7" s="8">
        <f>(H6-F6)+(L6-J6)+(N6-P6)</f>
        <v>0</v>
      </c>
      <c r="D7" s="6" t="str">
        <f>IF('Jornada 4'!G70=1,INDEX('Jornada 4'!D$11:D$14,MATCH(1,'Jornada 4'!E$11:E$14,0)),INDEX('Jornada 4'!D$11:D$14,MATCH(2,'Jornada 4'!E$11:E$14,0)))</f>
        <v>ELISA CAROLINA DIAZ LAGUNA</v>
      </c>
      <c r="E7" s="17">
        <f t="shared" si="0"/>
        <v>4</v>
      </c>
      <c r="F7" s="50"/>
      <c r="G7" s="49"/>
      <c r="H7" s="47"/>
      <c r="I7" s="34"/>
      <c r="J7" s="50"/>
      <c r="K7" s="49"/>
      <c r="L7" s="47"/>
      <c r="M7" s="28"/>
      <c r="N7" s="50"/>
      <c r="O7" s="49"/>
      <c r="P7" s="47"/>
      <c r="R7" s="7"/>
      <c r="S7" s="7">
        <f>COUNTIF(T$4:T$27,"&gt;"&amp;T7)+1</f>
        <v>1</v>
      </c>
      <c r="T7" s="7">
        <f>$C$18</f>
        <v>0</v>
      </c>
      <c r="U7" s="32" t="str">
        <f>$D$18</f>
        <v xml:space="preserve">JESUS ANTONIO SEPULVEDA RODRIGUEZ </v>
      </c>
    </row>
    <row r="8" spans="2:21" ht="15.6" x14ac:dyDescent="0.3">
      <c r="B8" s="35"/>
      <c r="R8" s="7"/>
      <c r="S8" s="7">
        <f>COUNTIF(T$4:T$27,"&gt;"&amp;T8)+1</f>
        <v>1</v>
      </c>
      <c r="T8" s="7">
        <f>$C$40</f>
        <v>0</v>
      </c>
      <c r="U8" s="32" t="str">
        <f>$D$40</f>
        <v>ALBERTO ROBLES ARMENTA</v>
      </c>
    </row>
    <row r="9" spans="2:21" ht="16.2" thickBot="1" x14ac:dyDescent="0.35">
      <c r="R9" s="7"/>
      <c r="S9" s="7">
        <f>COUNTIF(T$4:T$27,"&gt;"&amp;T9)+1</f>
        <v>1</v>
      </c>
      <c r="T9" s="7">
        <f>$C$32</f>
        <v>0</v>
      </c>
      <c r="U9" s="32" t="str">
        <f>$D$32</f>
        <v>CAMILO RODRIGUEZ PACHECO</v>
      </c>
    </row>
    <row r="10" spans="2:21" ht="16.2" thickBot="1" x14ac:dyDescent="0.35">
      <c r="B10" s="52" t="s">
        <v>47</v>
      </c>
      <c r="C10" s="2" t="s">
        <v>2</v>
      </c>
      <c r="D10" s="2" t="s">
        <v>3</v>
      </c>
      <c r="E10" s="2"/>
      <c r="F10" s="44" t="s">
        <v>4</v>
      </c>
      <c r="G10" s="45"/>
      <c r="H10" s="46"/>
      <c r="I10" s="33"/>
      <c r="J10" s="44" t="s">
        <v>5</v>
      </c>
      <c r="K10" s="45"/>
      <c r="L10" s="46"/>
      <c r="M10" s="2"/>
      <c r="N10" s="44" t="s">
        <v>6</v>
      </c>
      <c r="O10" s="45"/>
      <c r="P10" s="46"/>
      <c r="R10" s="7"/>
      <c r="S10" s="7">
        <f>COUNTIF(T$4:T$27,"&gt;"&amp;T10)+1</f>
        <v>1</v>
      </c>
      <c r="T10" s="7">
        <f>$C$34</f>
        <v>0</v>
      </c>
      <c r="U10" s="32" t="str">
        <f>$D$34</f>
        <v>LEO LUCERO KOLB</v>
      </c>
    </row>
    <row r="11" spans="2:21" ht="15.6" x14ac:dyDescent="0.3">
      <c r="B11" s="53"/>
      <c r="C11" s="5">
        <f>(F13-H13)+(J13-L13)+(N13-P13)</f>
        <v>0</v>
      </c>
      <c r="D11" s="6" t="str">
        <f>IF('Jornada 4'!G$70=1,INDEX('Jornada 4'!D$4:D$7,MATCH(4,'Jornada 4'!E$4:E$7,0)),INDEX('Jornada 4'!D$4:D$7,MATCH(3,'Jornada 4'!E$4:E$7,0)))</f>
        <v xml:space="preserve">NICOLAS MAXIMILIANO BRILL HERRERA </v>
      </c>
      <c r="E11" s="17">
        <f t="shared" ref="E11:E14" si="4">COUNTIF(C$11:C$14,"&gt;"&amp;C11)+COUNTIF($C$11:C11,C11)</f>
        <v>1</v>
      </c>
      <c r="F11" s="20" t="str">
        <f t="shared" ref="F11:F12" si="5">D11</f>
        <v xml:space="preserve">NICOLAS MAXIMILIANO BRILL HERRERA </v>
      </c>
      <c r="G11" s="48" t="s">
        <v>9</v>
      </c>
      <c r="H11" s="21" t="str">
        <f t="shared" ref="H11:H12" si="6">D13</f>
        <v xml:space="preserve">IKER FRANCISCO NORIEGA JIMENEZ </v>
      </c>
      <c r="I11" s="34"/>
      <c r="J11" s="20" t="str">
        <f>D11</f>
        <v xml:space="preserve">NICOLAS MAXIMILIANO BRILL HERRERA </v>
      </c>
      <c r="K11" s="48" t="s">
        <v>9</v>
      </c>
      <c r="L11" s="21" t="str">
        <f>D12</f>
        <v>MARIANO NAVARRO LEAÑO</v>
      </c>
      <c r="M11" s="27"/>
      <c r="N11" s="20" t="str">
        <f>D11</f>
        <v xml:space="preserve">NICOLAS MAXIMILIANO BRILL HERRERA </v>
      </c>
      <c r="O11" s="48" t="s">
        <v>9</v>
      </c>
      <c r="P11" s="21" t="str">
        <f t="shared" ref="P11:P12" si="7">D12</f>
        <v>MARIANO NAVARRO LEAÑO</v>
      </c>
      <c r="R11" s="7"/>
      <c r="S11" s="7">
        <f>COUNTIF(T$4:T$27,"&gt;"&amp;T11)+1</f>
        <v>1</v>
      </c>
      <c r="T11" s="7">
        <f>$C$39</f>
        <v>0</v>
      </c>
      <c r="U11" s="32" t="str">
        <f>$D$39</f>
        <v>JOSUÉ SANTIAGO PÉREZ MEDINA</v>
      </c>
    </row>
    <row r="12" spans="2:21" ht="15.6" x14ac:dyDescent="0.3">
      <c r="B12" s="53"/>
      <c r="C12" s="8">
        <f>(F13-H13)+(L13-J13)+(P13-N13)</f>
        <v>0</v>
      </c>
      <c r="D12" s="9" t="str">
        <f>IF('Jornada 4'!G$70=1,INDEX('Jornada 4'!D$11:D$14,MATCH(2,'Jornada 4'!E$11:E$14,0)),INDEX('Jornada 4'!D$4:D$7,MATCH(4,'Jornada 4'!E$4:E$7,0)))</f>
        <v>MARIANO NAVARRO LEAÑO</v>
      </c>
      <c r="E12" s="17">
        <f t="shared" si="4"/>
        <v>2</v>
      </c>
      <c r="F12" s="22" t="str">
        <f t="shared" si="5"/>
        <v>MARIANO NAVARRO LEAÑO</v>
      </c>
      <c r="G12" s="38"/>
      <c r="H12" s="23" t="str">
        <f t="shared" si="6"/>
        <v>DIEGO PATRICIO FERNANDEZ VIERA</v>
      </c>
      <c r="I12" s="34"/>
      <c r="J12" s="22" t="str">
        <f>D13</f>
        <v xml:space="preserve">IKER FRANCISCO NORIEGA JIMENEZ </v>
      </c>
      <c r="K12" s="38"/>
      <c r="L12" s="23" t="str">
        <f>D14</f>
        <v>DIEGO PATRICIO FERNANDEZ VIERA</v>
      </c>
      <c r="M12" s="28"/>
      <c r="N12" s="22" t="str">
        <f>D14</f>
        <v>DIEGO PATRICIO FERNANDEZ VIERA</v>
      </c>
      <c r="O12" s="38"/>
      <c r="P12" s="23" t="str">
        <f t="shared" si="7"/>
        <v xml:space="preserve">IKER FRANCISCO NORIEGA JIMENEZ </v>
      </c>
      <c r="R12" s="7"/>
      <c r="S12" s="7">
        <f>COUNTIF(T$4:T$27,"&gt;"&amp;T12)+1</f>
        <v>1</v>
      </c>
      <c r="T12" s="7">
        <f>$C$41</f>
        <v>0</v>
      </c>
      <c r="U12" s="32" t="str">
        <f>$D$41</f>
        <v>ADRIANA ESPINOZA SALDAÑA</v>
      </c>
    </row>
    <row r="13" spans="2:21" ht="15.6" x14ac:dyDescent="0.3">
      <c r="B13" s="53"/>
      <c r="C13" s="8">
        <f>(H13-F13)+(J13-L13)+(P13-N13)</f>
        <v>0</v>
      </c>
      <c r="D13" s="9" t="str">
        <f>IF('Jornada 4'!G$70=1,INDEX('Jornada 4'!D$11:D$14,MATCH(3,'Jornada 4'!E$11:E$14,0)),INDEX('Jornada 4'!D$18:D$21,MATCH(1,'Jornada 4'!E$18:E$21,0)))</f>
        <v xml:space="preserve">IKER FRANCISCO NORIEGA JIMENEZ </v>
      </c>
      <c r="E13" s="17">
        <f t="shared" si="4"/>
        <v>3</v>
      </c>
      <c r="F13" s="40"/>
      <c r="G13" s="38"/>
      <c r="H13" s="36"/>
      <c r="I13" s="34"/>
      <c r="J13" s="40"/>
      <c r="K13" s="38"/>
      <c r="L13" s="36"/>
      <c r="M13" s="28"/>
      <c r="N13" s="40"/>
      <c r="O13" s="38"/>
      <c r="P13" s="36"/>
      <c r="R13" s="7"/>
      <c r="S13" s="7">
        <f>COUNTIF(T$4:T$27,"&gt;"&amp;T13)+1</f>
        <v>1</v>
      </c>
      <c r="T13" s="7">
        <f>$C$33</f>
        <v>0</v>
      </c>
      <c r="U13" s="32" t="str">
        <f>$D$33</f>
        <v>ALEJANDRO CAMARENA LOPEZ</v>
      </c>
    </row>
    <row r="14" spans="2:21" ht="16.2" thickBot="1" x14ac:dyDescent="0.35">
      <c r="B14" s="54"/>
      <c r="C14" s="8">
        <f>(H13-F13)+(L13-J13)+(N13-P13)</f>
        <v>0</v>
      </c>
      <c r="D14" s="9" t="str">
        <f>IF('Jornada 4'!G$70=1,INDEX('Jornada 4'!D$18:D$21,MATCH(1,'Jornada 4'!E$18:E$21,0)),INDEX('Jornada 4'!D$18:D$21,MATCH(2,'Jornada 4'!E$18:E$21,0)))</f>
        <v>DIEGO PATRICIO FERNANDEZ VIERA</v>
      </c>
      <c r="E14" s="17">
        <f t="shared" si="4"/>
        <v>4</v>
      </c>
      <c r="F14" s="50"/>
      <c r="G14" s="49"/>
      <c r="H14" s="47"/>
      <c r="I14" s="34"/>
      <c r="J14" s="50"/>
      <c r="K14" s="49"/>
      <c r="L14" s="47"/>
      <c r="M14" s="28"/>
      <c r="N14" s="50"/>
      <c r="O14" s="49"/>
      <c r="P14" s="47"/>
      <c r="R14" s="7"/>
      <c r="S14" s="7">
        <f>COUNTIF(T$4:T$27,"&gt;"&amp;T14)+1</f>
        <v>1</v>
      </c>
      <c r="T14" s="7">
        <f>$C$20</f>
        <v>0</v>
      </c>
      <c r="U14" s="32" t="str">
        <f>$D$20</f>
        <v>MAURICIO LOZANO CASTILLERO</v>
      </c>
    </row>
    <row r="15" spans="2:21" ht="15.6" x14ac:dyDescent="0.3">
      <c r="R15" s="7"/>
      <c r="S15" s="7">
        <f>COUNTIF(T$4:T$27,"&gt;"&amp;T15)+1</f>
        <v>1</v>
      </c>
      <c r="T15" s="7">
        <f>$C$12</f>
        <v>0</v>
      </c>
      <c r="U15" s="32" t="str">
        <f>$D$12</f>
        <v>MARIANO NAVARRO LEAÑO</v>
      </c>
    </row>
    <row r="16" spans="2:21" ht="16.2" thickBot="1" x14ac:dyDescent="0.35">
      <c r="R16" s="7"/>
      <c r="S16" s="7">
        <f>COUNTIF(T$4:T$27,"&gt;"&amp;T16)+1</f>
        <v>1</v>
      </c>
      <c r="T16" s="7">
        <f>$C$27</f>
        <v>0</v>
      </c>
      <c r="U16" s="32" t="str">
        <f>$D$27</f>
        <v>MAXIMILIANO HERNÁNDEZ OROZCO</v>
      </c>
    </row>
    <row r="17" spans="2:21" ht="16.2" thickBot="1" x14ac:dyDescent="0.35">
      <c r="B17" s="52" t="s">
        <v>48</v>
      </c>
      <c r="C17" s="2" t="s">
        <v>2</v>
      </c>
      <c r="D17" s="2" t="s">
        <v>3</v>
      </c>
      <c r="E17" s="2"/>
      <c r="F17" s="44" t="s">
        <v>4</v>
      </c>
      <c r="G17" s="45"/>
      <c r="H17" s="46"/>
      <c r="I17" s="33"/>
      <c r="J17" s="44" t="s">
        <v>5</v>
      </c>
      <c r="K17" s="45"/>
      <c r="L17" s="46"/>
      <c r="M17" s="2"/>
      <c r="N17" s="44" t="s">
        <v>6</v>
      </c>
      <c r="O17" s="45"/>
      <c r="P17" s="46"/>
      <c r="R17" s="7"/>
      <c r="S17" s="7">
        <f>COUNTIF(T$4:T$27,"&gt;"&amp;T17)+1</f>
        <v>1</v>
      </c>
      <c r="T17" s="7">
        <f>$C$5</f>
        <v>0</v>
      </c>
      <c r="U17" s="32" t="str">
        <f>$D$5</f>
        <v>MARIANO GOMEZ VUILLEUMIER</v>
      </c>
    </row>
    <row r="18" spans="2:21" ht="15.6" x14ac:dyDescent="0.3">
      <c r="B18" s="53"/>
      <c r="C18" s="5">
        <f>(F20-H20)+(J20-L20)+(N20-P20)</f>
        <v>0</v>
      </c>
      <c r="D18" s="6" t="str">
        <f>IF('Jornada 4'!G$70=1,INDEX('Jornada 4'!D$11:D$14,MATCH(4,'Jornada 4'!E$11:E$14,0)),INDEX('Jornada 4'!D$11:D$14,MATCH(3,'Jornada 4'!E$11:E$14,0)))</f>
        <v xml:space="preserve">JESUS ANTONIO SEPULVEDA RODRIGUEZ </v>
      </c>
      <c r="E18" s="17">
        <f t="shared" ref="E18:E21" si="8">COUNTIF(C$18:C$21,"&gt;"&amp;C18)+COUNTIF($C$18:C18,C18)</f>
        <v>1</v>
      </c>
      <c r="F18" s="20" t="str">
        <f t="shared" ref="F18:F19" si="9">D18</f>
        <v xml:space="preserve">JESUS ANTONIO SEPULVEDA RODRIGUEZ </v>
      </c>
      <c r="G18" s="48" t="s">
        <v>9</v>
      </c>
      <c r="H18" s="21" t="str">
        <f t="shared" ref="H18:H19" si="10">D20</f>
        <v>MAURICIO LOZANO CASTILLERO</v>
      </c>
      <c r="I18" s="34"/>
      <c r="J18" s="20" t="str">
        <f>D18</f>
        <v xml:space="preserve">JESUS ANTONIO SEPULVEDA RODRIGUEZ </v>
      </c>
      <c r="K18" s="48" t="s">
        <v>9</v>
      </c>
      <c r="L18" s="21" t="str">
        <f>D19</f>
        <v xml:space="preserve">ALONSO CISNEROS SANCHEZ </v>
      </c>
      <c r="M18" s="27"/>
      <c r="N18" s="20" t="str">
        <f>D18</f>
        <v xml:space="preserve">JESUS ANTONIO SEPULVEDA RODRIGUEZ </v>
      </c>
      <c r="O18" s="48" t="s">
        <v>9</v>
      </c>
      <c r="P18" s="21" t="str">
        <f t="shared" ref="P18:P19" si="11">D19</f>
        <v xml:space="preserve">ALONSO CISNEROS SANCHEZ </v>
      </c>
      <c r="R18" s="7"/>
      <c r="S18" s="7">
        <f>COUNTIF(T$4:T$27,"&gt;"&amp;T18)+1</f>
        <v>1</v>
      </c>
      <c r="T18" s="7">
        <f>$C$6</f>
        <v>0</v>
      </c>
      <c r="U18" s="32" t="str">
        <f>$D$6</f>
        <v>IAN DE LA BARQUERA</v>
      </c>
    </row>
    <row r="19" spans="2:21" ht="15.75" customHeight="1" x14ac:dyDescent="0.3">
      <c r="B19" s="53"/>
      <c r="C19" s="8">
        <f>(F20-H20)+(L20-J20)+(P20-N20)</f>
        <v>0</v>
      </c>
      <c r="D19" s="9" t="str">
        <f>IF('Jornada 4'!G$70=1,INDEX('Jornada 4'!D$18:D$21,MATCH(2,'Jornada 4'!E$18:E$21,0)),INDEX('Jornada 4'!D$11:D$14,MATCH(4,'Jornada 4'!E$11:E$14,0)))</f>
        <v xml:space="preserve">ALONSO CISNEROS SANCHEZ </v>
      </c>
      <c r="E19" s="17">
        <f t="shared" si="8"/>
        <v>2</v>
      </c>
      <c r="F19" s="22" t="str">
        <f t="shared" si="9"/>
        <v xml:space="preserve">ALONSO CISNEROS SANCHEZ </v>
      </c>
      <c r="G19" s="38"/>
      <c r="H19" s="23" t="str">
        <f t="shared" si="10"/>
        <v>JOSE EMILIANO VAZQUEZ NUÑO</v>
      </c>
      <c r="I19" s="34"/>
      <c r="J19" s="22" t="str">
        <f>D20</f>
        <v>MAURICIO LOZANO CASTILLERO</v>
      </c>
      <c r="K19" s="38"/>
      <c r="L19" s="23" t="str">
        <f>D21</f>
        <v>JOSE EMILIANO VAZQUEZ NUÑO</v>
      </c>
      <c r="M19" s="28"/>
      <c r="N19" s="22" t="str">
        <f>D21</f>
        <v>JOSE EMILIANO VAZQUEZ NUÑO</v>
      </c>
      <c r="O19" s="38"/>
      <c r="P19" s="23" t="str">
        <f t="shared" si="11"/>
        <v>MAURICIO LOZANO CASTILLERO</v>
      </c>
      <c r="R19" s="7"/>
      <c r="S19" s="7">
        <f>COUNTIF(T$4:T$27,"&gt;"&amp;T19)+1</f>
        <v>1</v>
      </c>
      <c r="T19" s="7">
        <f>$C$14</f>
        <v>0</v>
      </c>
      <c r="U19" s="32" t="str">
        <f>$D$14</f>
        <v>DIEGO PATRICIO FERNANDEZ VIERA</v>
      </c>
    </row>
    <row r="20" spans="2:21" ht="15.75" customHeight="1" x14ac:dyDescent="0.3">
      <c r="B20" s="53"/>
      <c r="C20" s="8">
        <f>(H20-F20)+(J20-L20)+(P20-N20)</f>
        <v>0</v>
      </c>
      <c r="D20" s="9" t="str">
        <f>IF('Jornada 4'!G$70=1,INDEX('Jornada 4'!D$18:D$21,MATCH(3,'Jornada 4'!E$18:E$21,0)),INDEX('Jornada 4'!D$25:D$28,MATCH(1,'Jornada 4'!E$25:E$28,0)))</f>
        <v>MAURICIO LOZANO CASTILLERO</v>
      </c>
      <c r="E20" s="17">
        <f t="shared" si="8"/>
        <v>3</v>
      </c>
      <c r="F20" s="40"/>
      <c r="G20" s="38"/>
      <c r="H20" s="36"/>
      <c r="I20" s="34"/>
      <c r="J20" s="40"/>
      <c r="K20" s="38"/>
      <c r="L20" s="36"/>
      <c r="M20" s="28"/>
      <c r="N20" s="40"/>
      <c r="O20" s="38"/>
      <c r="P20" s="36"/>
      <c r="R20" s="7"/>
      <c r="S20" s="7">
        <f>COUNTIF(T$4:T$27,"&gt;"&amp;T20)+1</f>
        <v>1</v>
      </c>
      <c r="T20" s="7">
        <f>$C$26</f>
        <v>0</v>
      </c>
      <c r="U20" s="32" t="str">
        <f>$D$26</f>
        <v>MIGUEL ALCARAZ AMEZCUA</v>
      </c>
    </row>
    <row r="21" spans="2:21" ht="15.75" customHeight="1" thickBot="1" x14ac:dyDescent="0.35">
      <c r="B21" s="54"/>
      <c r="C21" s="8">
        <f>(H20-F20)+(L20-J20)+(N20-P20)</f>
        <v>0</v>
      </c>
      <c r="D21" s="9" t="str">
        <f>IF('Jornada 4'!G$70=1,INDEX('Jornada 4'!D$25:D$28,MATCH(1,'Jornada 4'!E$25:E$28,0)),INDEX('Jornada 4'!D$25:D$28,MATCH(2,'Jornada 4'!E$25:E$28,0)))</f>
        <v>JOSE EMILIANO VAZQUEZ NUÑO</v>
      </c>
      <c r="E21" s="17">
        <f t="shared" si="8"/>
        <v>4</v>
      </c>
      <c r="F21" s="50"/>
      <c r="G21" s="49"/>
      <c r="H21" s="47"/>
      <c r="I21" s="34"/>
      <c r="J21" s="50"/>
      <c r="K21" s="49"/>
      <c r="L21" s="47"/>
      <c r="M21" s="28"/>
      <c r="N21" s="50"/>
      <c r="O21" s="49"/>
      <c r="P21" s="47"/>
      <c r="R21" s="7"/>
      <c r="S21" s="7">
        <f>COUNTIF(T$4:T$27,"&gt;"&amp;T21)+1</f>
        <v>1</v>
      </c>
      <c r="T21" s="7">
        <f>$C$19</f>
        <v>0</v>
      </c>
      <c r="U21" s="32" t="str">
        <f>$D$19</f>
        <v xml:space="preserve">ALONSO CISNEROS SANCHEZ </v>
      </c>
    </row>
    <row r="22" spans="2:21" ht="15.75" customHeight="1" x14ac:dyDescent="0.3">
      <c r="R22" s="7"/>
      <c r="S22" s="7">
        <f>COUNTIF(T$4:T$27,"&gt;"&amp;T22)+1</f>
        <v>1</v>
      </c>
      <c r="T22" s="7">
        <f>$C$21</f>
        <v>0</v>
      </c>
      <c r="U22" s="32" t="str">
        <f>$D$21</f>
        <v>JOSE EMILIANO VAZQUEZ NUÑO</v>
      </c>
    </row>
    <row r="23" spans="2:21" ht="15.75" customHeight="1" thickBot="1" x14ac:dyDescent="0.35">
      <c r="R23" s="7"/>
      <c r="S23" s="7">
        <f>COUNTIF(T$4:T$27,"&gt;"&amp;T23)+1</f>
        <v>1</v>
      </c>
      <c r="T23" s="7">
        <f>$C$7</f>
        <v>0</v>
      </c>
      <c r="U23" s="32" t="str">
        <f>$D$7</f>
        <v>ELISA CAROLINA DIAZ LAGUNA</v>
      </c>
    </row>
    <row r="24" spans="2:21" ht="15.75" customHeight="1" thickBot="1" x14ac:dyDescent="0.35">
      <c r="B24" s="52" t="s">
        <v>49</v>
      </c>
      <c r="C24" s="2" t="s">
        <v>2</v>
      </c>
      <c r="D24" s="2" t="s">
        <v>3</v>
      </c>
      <c r="E24" s="2"/>
      <c r="F24" s="44" t="s">
        <v>4</v>
      </c>
      <c r="G24" s="45"/>
      <c r="H24" s="46"/>
      <c r="I24" s="33"/>
      <c r="J24" s="44" t="s">
        <v>5</v>
      </c>
      <c r="K24" s="45"/>
      <c r="L24" s="46"/>
      <c r="M24" s="2"/>
      <c r="N24" s="44" t="s">
        <v>6</v>
      </c>
      <c r="O24" s="45"/>
      <c r="P24" s="46"/>
      <c r="R24" s="7"/>
      <c r="S24" s="7">
        <f>COUNTIF(T$4:T$27,"&gt;"&amp;T24)+1</f>
        <v>1</v>
      </c>
      <c r="T24" s="7">
        <f>$C$13</f>
        <v>0</v>
      </c>
      <c r="U24" s="32" t="str">
        <f>$D$13</f>
        <v xml:space="preserve">IKER FRANCISCO NORIEGA JIMENEZ </v>
      </c>
    </row>
    <row r="25" spans="2:21" ht="15.75" customHeight="1" x14ac:dyDescent="0.3">
      <c r="B25" s="53"/>
      <c r="C25" s="5">
        <f>(F27-H27)+(J27-L27)+(N27-P27)</f>
        <v>0</v>
      </c>
      <c r="D25" s="6" t="str">
        <f>IF('Jornada 4'!G$70=1,INDEX('Jornada 4'!D$18:D$21,MATCH(4,'Jornada 4'!E$18:E$21,0)),INDEX('Jornada 4'!D$18:D$21,MATCH(3,'Jornada 4'!E$18:E$21,0)))</f>
        <v>EMILIO MATEO OLIVARES CORTÉS</v>
      </c>
      <c r="E25" s="17">
        <f t="shared" ref="E25:E28" si="12">COUNTIF(C$25:C$28,"&gt;"&amp;C25)+COUNTIF($C$25:C25,C25)</f>
        <v>1</v>
      </c>
      <c r="F25" s="20" t="str">
        <f t="shared" ref="F25:F26" si="13">D25</f>
        <v>EMILIO MATEO OLIVARES CORTÉS</v>
      </c>
      <c r="G25" s="48" t="s">
        <v>9</v>
      </c>
      <c r="H25" s="21" t="str">
        <f t="shared" ref="H25" si="14">D27</f>
        <v>MAXIMILIANO HERNÁNDEZ OROZCO</v>
      </c>
      <c r="I25" s="34"/>
      <c r="J25" s="20" t="str">
        <f>D25</f>
        <v>EMILIO MATEO OLIVARES CORTÉS</v>
      </c>
      <c r="K25" s="48" t="s">
        <v>9</v>
      </c>
      <c r="L25" s="21" t="str">
        <f>D26</f>
        <v>MIGUEL ALCARAZ AMEZCUA</v>
      </c>
      <c r="M25" s="27"/>
      <c r="N25" s="20" t="str">
        <f>D25</f>
        <v>EMILIO MATEO OLIVARES CORTÉS</v>
      </c>
      <c r="O25" s="48" t="s">
        <v>9</v>
      </c>
      <c r="P25" s="21" t="str">
        <f t="shared" ref="P25:P26" si="15">D26</f>
        <v>MIGUEL ALCARAZ AMEZCUA</v>
      </c>
      <c r="S25" s="7">
        <f>COUNTIF(T$4:T$27,"&gt;"&amp;T25)+1</f>
        <v>1</v>
      </c>
      <c r="T25" s="7">
        <f>$C$25</f>
        <v>0</v>
      </c>
      <c r="U25" s="32" t="str">
        <f>$D$25</f>
        <v>EMILIO MATEO OLIVARES CORTÉS</v>
      </c>
    </row>
    <row r="26" spans="2:21" ht="15.75" customHeight="1" x14ac:dyDescent="0.3">
      <c r="B26" s="53"/>
      <c r="C26" s="8">
        <f>(F27-H27)+(L27-J27)+(P27-N27)</f>
        <v>0</v>
      </c>
      <c r="D26" s="9" t="str">
        <f>IF('Jornada 4'!G$70=1,INDEX('Jornada 4'!D$25:D$28,MATCH(2,'Jornada 4'!E$25:E$28,0)),INDEX('Jornada 4'!D$18:D$21,MATCH(4,'Jornada 4'!E$18:E$21,0)))</f>
        <v>MIGUEL ALCARAZ AMEZCUA</v>
      </c>
      <c r="E26" s="17">
        <f t="shared" si="12"/>
        <v>2</v>
      </c>
      <c r="F26" s="22" t="str">
        <f t="shared" si="13"/>
        <v>MIGUEL ALCARAZ AMEZCUA</v>
      </c>
      <c r="G26" s="38"/>
      <c r="H26" s="23" t="str">
        <f>D28</f>
        <v>ESTEFANO ROLANDO BECERRA HERNANDEZ</v>
      </c>
      <c r="I26" s="34"/>
      <c r="J26" s="22" t="str">
        <f>D27</f>
        <v>MAXIMILIANO HERNÁNDEZ OROZCO</v>
      </c>
      <c r="K26" s="38"/>
      <c r="L26" s="23" t="str">
        <f>D28</f>
        <v>ESTEFANO ROLANDO BECERRA HERNANDEZ</v>
      </c>
      <c r="M26" s="28"/>
      <c r="N26" s="22" t="str">
        <f>D28</f>
        <v>ESTEFANO ROLANDO BECERRA HERNANDEZ</v>
      </c>
      <c r="O26" s="38"/>
      <c r="P26" s="23" t="str">
        <f t="shared" si="15"/>
        <v>MAXIMILIANO HERNÁNDEZ OROZCO</v>
      </c>
      <c r="S26" s="7">
        <f>COUNTIF(T$4:T$27,"&gt;"&amp;T26)+1</f>
        <v>1</v>
      </c>
      <c r="T26" s="7">
        <f>$C$35</f>
        <v>0</v>
      </c>
      <c r="U26" s="32" t="str">
        <f>$D$35</f>
        <v>LUCAS CONTRERAS PADRÓN</v>
      </c>
    </row>
    <row r="27" spans="2:21" ht="15.75" customHeight="1" x14ac:dyDescent="0.3">
      <c r="B27" s="53"/>
      <c r="C27" s="8">
        <f>(H27-F27)+(J27-L27)+(P27-N27)</f>
        <v>0</v>
      </c>
      <c r="D27" s="9" t="str">
        <f>IF('Jornada 4'!G$70=1,INDEX('Jornada 4'!D$25:D$28,MATCH(3,'Jornada 4'!E$25:E$28,0)),INDEX('Jornada 4'!D$32:D$35,MATCH(1,'Jornada 4'!E$32:E$35,0)))</f>
        <v>MAXIMILIANO HERNÁNDEZ OROZCO</v>
      </c>
      <c r="E27" s="17">
        <f t="shared" si="12"/>
        <v>3</v>
      </c>
      <c r="F27" s="40"/>
      <c r="G27" s="38"/>
      <c r="H27" s="36"/>
      <c r="I27" s="34"/>
      <c r="J27" s="40"/>
      <c r="K27" s="38"/>
      <c r="L27" s="36"/>
      <c r="M27" s="28"/>
      <c r="N27" s="40"/>
      <c r="O27" s="38"/>
      <c r="P27" s="36"/>
      <c r="S27" s="7">
        <f>COUNTIF(T$4:T$27,"&gt;"&amp;T27)+1</f>
        <v>1</v>
      </c>
      <c r="T27" s="7">
        <f>$C$42</f>
        <v>0</v>
      </c>
      <c r="U27" s="32" t="str">
        <f>$D$42</f>
        <v>CHRISTIAN ULISES ACOSTA LOMELI</v>
      </c>
    </row>
    <row r="28" spans="2:21" ht="15.75" customHeight="1" thickBot="1" x14ac:dyDescent="0.35">
      <c r="B28" s="54"/>
      <c r="C28" s="8">
        <f>(H27-F27)+(L27-J27)+(N27-P27)</f>
        <v>0</v>
      </c>
      <c r="D28" s="9" t="str">
        <f>IF('Jornada 4'!G$70=1,INDEX('Jornada 4'!D$32:D$35,MATCH(1,'Jornada 4'!E$32:E$35,0)),INDEX('Jornada 4'!D$32:D$35,MATCH(2,'Jornada 4'!E$32:E$35,0)))</f>
        <v>ESTEFANO ROLANDO BECERRA HERNANDEZ</v>
      </c>
      <c r="E28" s="17">
        <f t="shared" si="12"/>
        <v>4</v>
      </c>
      <c r="F28" s="50"/>
      <c r="G28" s="49"/>
      <c r="H28" s="47"/>
      <c r="I28" s="34"/>
      <c r="J28" s="50"/>
      <c r="K28" s="49"/>
      <c r="L28" s="47"/>
      <c r="M28" s="28"/>
      <c r="N28" s="50"/>
      <c r="O28" s="49"/>
      <c r="P28" s="47"/>
    </row>
    <row r="29" spans="2:21" ht="15.75" customHeight="1" x14ac:dyDescent="0.3"/>
    <row r="30" spans="2:21" ht="15.75" customHeight="1" thickBot="1" x14ac:dyDescent="0.35"/>
    <row r="31" spans="2:21" ht="15.75" customHeight="1" thickBot="1" x14ac:dyDescent="0.35">
      <c r="B31" s="52" t="s">
        <v>50</v>
      </c>
      <c r="C31" s="2" t="s">
        <v>2</v>
      </c>
      <c r="D31" s="2" t="s">
        <v>3</v>
      </c>
      <c r="E31" s="2"/>
      <c r="F31" s="44" t="s">
        <v>4</v>
      </c>
      <c r="G31" s="45"/>
      <c r="H31" s="46"/>
      <c r="I31" s="33"/>
      <c r="J31" s="44" t="s">
        <v>5</v>
      </c>
      <c r="K31" s="45"/>
      <c r="L31" s="46"/>
      <c r="M31" s="2"/>
      <c r="N31" s="44" t="s">
        <v>6</v>
      </c>
      <c r="O31" s="45"/>
      <c r="P31" s="46"/>
    </row>
    <row r="32" spans="2:21" ht="15.75" customHeight="1" x14ac:dyDescent="0.3">
      <c r="B32" s="53"/>
      <c r="C32" s="5">
        <f>(F34-H34)+(J34-L34)+(N34-P34)</f>
        <v>0</v>
      </c>
      <c r="D32" s="6" t="str">
        <f>IF('Jornada 4'!G$70=1,INDEX('Jornada 4'!D$25:D$28,MATCH(4,'Jornada 4'!E$25:E$28,0)),INDEX('Jornada 4'!D$25:D$28,MATCH(3,'Jornada 4'!E$25:E$28,0)))</f>
        <v>CAMILO RODRIGUEZ PACHECO</v>
      </c>
      <c r="E32" s="17">
        <f t="shared" ref="E32:E35" si="16">COUNTIF(C$32:C$35,"&gt;"&amp;C32)+COUNTIF($C$32:C32,C32)</f>
        <v>1</v>
      </c>
      <c r="F32" s="20" t="str">
        <f t="shared" ref="F32:F33" si="17">D32</f>
        <v>CAMILO RODRIGUEZ PACHECO</v>
      </c>
      <c r="G32" s="48" t="s">
        <v>9</v>
      </c>
      <c r="H32" s="21" t="str">
        <f t="shared" ref="H32:H33" si="18">D34</f>
        <v>LEO LUCERO KOLB</v>
      </c>
      <c r="I32" s="34"/>
      <c r="J32" s="20" t="str">
        <f>D32</f>
        <v>CAMILO RODRIGUEZ PACHECO</v>
      </c>
      <c r="K32" s="48" t="s">
        <v>9</v>
      </c>
      <c r="L32" s="21" t="str">
        <f>D33</f>
        <v>ALEJANDRO CAMARENA LOPEZ</v>
      </c>
      <c r="M32" s="27"/>
      <c r="N32" s="20" t="str">
        <f>D32</f>
        <v>CAMILO RODRIGUEZ PACHECO</v>
      </c>
      <c r="O32" s="48" t="s">
        <v>9</v>
      </c>
      <c r="P32" s="21" t="str">
        <f t="shared" ref="P32:P33" si="19">D33</f>
        <v>ALEJANDRO CAMARENA LOPEZ</v>
      </c>
    </row>
    <row r="33" spans="1:16" ht="15.75" customHeight="1" x14ac:dyDescent="0.3">
      <c r="B33" s="53"/>
      <c r="C33" s="8">
        <f>(F34-H34)+(L34-J34)+(P34-N34)</f>
        <v>0</v>
      </c>
      <c r="D33" s="9" t="str">
        <f>IF('Jornada 4'!G$70=1,INDEX('Jornada 4'!D$32:D$35,MATCH(2,'Jornada 4'!E$32:E$35,0)),INDEX('Jornada 4'!D$25:D$28,MATCH(4,'Jornada 4'!E$25:E$28,0)))</f>
        <v>ALEJANDRO CAMARENA LOPEZ</v>
      </c>
      <c r="E33" s="17">
        <f t="shared" si="16"/>
        <v>2</v>
      </c>
      <c r="F33" s="22" t="str">
        <f t="shared" si="17"/>
        <v>ALEJANDRO CAMARENA LOPEZ</v>
      </c>
      <c r="G33" s="38"/>
      <c r="H33" s="23" t="str">
        <f t="shared" si="18"/>
        <v>LUCAS CONTRERAS PADRÓN</v>
      </c>
      <c r="I33" s="34"/>
      <c r="J33" s="22" t="str">
        <f>D34</f>
        <v>LEO LUCERO KOLB</v>
      </c>
      <c r="K33" s="38"/>
      <c r="L33" s="23" t="str">
        <f>D35</f>
        <v>LUCAS CONTRERAS PADRÓN</v>
      </c>
      <c r="M33" s="28"/>
      <c r="N33" s="22" t="str">
        <f>D35</f>
        <v>LUCAS CONTRERAS PADRÓN</v>
      </c>
      <c r="O33" s="38"/>
      <c r="P33" s="23" t="str">
        <f t="shared" si="19"/>
        <v>LEO LUCERO KOLB</v>
      </c>
    </row>
    <row r="34" spans="1:16" ht="15.75" customHeight="1" x14ac:dyDescent="0.3">
      <c r="B34" s="53"/>
      <c r="C34" s="8">
        <f>(H34-F34)+(J34-L34)+(P34-N34)</f>
        <v>0</v>
      </c>
      <c r="D34" s="9" t="str">
        <f>IF('Jornada 4'!G$70=1,INDEX('Jornada 4'!D$32:D$35,MATCH(3,'Jornada 4'!E$32:E$35,0)),INDEX('Jornada 4'!D$39:D$42,MATCH(1,'Jornada 4'!E$39:E$42,0)))</f>
        <v>LEO LUCERO KOLB</v>
      </c>
      <c r="E34" s="17">
        <f t="shared" si="16"/>
        <v>3</v>
      </c>
      <c r="F34" s="40"/>
      <c r="G34" s="38"/>
      <c r="H34" s="36"/>
      <c r="I34" s="34"/>
      <c r="J34" s="40"/>
      <c r="K34" s="38"/>
      <c r="L34" s="36"/>
      <c r="M34" s="28"/>
      <c r="N34" s="40"/>
      <c r="O34" s="38"/>
      <c r="P34" s="36"/>
    </row>
    <row r="35" spans="1:16" ht="15.75" customHeight="1" thickBot="1" x14ac:dyDescent="0.35">
      <c r="A35" t="s">
        <v>56</v>
      </c>
      <c r="B35" s="54"/>
      <c r="C35" s="8">
        <f>(H34-F34)+(L34-J34)+(N34-P34)</f>
        <v>0</v>
      </c>
      <c r="D35" s="9" t="str">
        <f>IF('Jornada 4'!G$70=1,INDEX('Jornada 4'!D$39:D$42,MATCH(1,'Jornada 4'!E$39:E$42,0)),INDEX('Jornada 4'!D$39:D$42,MATCH(2,'Jornada 4'!E$39:E$42,0)))</f>
        <v>LUCAS CONTRERAS PADRÓN</v>
      </c>
      <c r="E35" s="17">
        <f t="shared" si="16"/>
        <v>4</v>
      </c>
      <c r="F35" s="50"/>
      <c r="G35" s="49"/>
      <c r="H35" s="47"/>
      <c r="I35" s="34"/>
      <c r="J35" s="50"/>
      <c r="K35" s="49"/>
      <c r="L35" s="47"/>
      <c r="M35" s="28"/>
      <c r="N35" s="50"/>
      <c r="O35" s="49"/>
      <c r="P35" s="47"/>
    </row>
    <row r="36" spans="1:16" ht="15.75" customHeight="1" x14ac:dyDescent="0.3"/>
    <row r="37" spans="1:16" ht="15.75" customHeight="1" thickBot="1" x14ac:dyDescent="0.35"/>
    <row r="38" spans="1:16" ht="15.75" customHeight="1" thickBot="1" x14ac:dyDescent="0.35">
      <c r="B38" s="52" t="s">
        <v>51</v>
      </c>
      <c r="C38" s="2" t="s">
        <v>2</v>
      </c>
      <c r="D38" s="2" t="s">
        <v>3</v>
      </c>
      <c r="E38" s="2"/>
      <c r="F38" s="44" t="s">
        <v>4</v>
      </c>
      <c r="G38" s="45"/>
      <c r="H38" s="46"/>
      <c r="I38" s="33"/>
      <c r="J38" s="44" t="s">
        <v>5</v>
      </c>
      <c r="K38" s="45"/>
      <c r="L38" s="46"/>
      <c r="M38" s="2"/>
      <c r="N38" s="44" t="s">
        <v>6</v>
      </c>
      <c r="O38" s="45"/>
      <c r="P38" s="46"/>
    </row>
    <row r="39" spans="1:16" ht="15.75" customHeight="1" x14ac:dyDescent="0.3">
      <c r="B39" s="53"/>
      <c r="C39" s="5">
        <f>(F41-H41)+(J41-L41)+(N41-P41)</f>
        <v>0</v>
      </c>
      <c r="D39" s="6" t="str">
        <f>IF('Jornada 4'!G$70=1,INDEX('Jornada 4'!D$32:D$35,MATCH(4,'Jornada 4'!E$32:E$35,0)),INDEX('Jornada 4'!D$32:D$35,MATCH(3,'Jornada 4'!E$32:E$35,0)))</f>
        <v>JOSUÉ SANTIAGO PÉREZ MEDINA</v>
      </c>
      <c r="E39" s="6">
        <f t="shared" ref="E39:E42" si="20">COUNTIF(C$39:C$42,"&gt;"&amp;C39)+COUNTIF($C$39:C39,C39)</f>
        <v>1</v>
      </c>
      <c r="F39" s="6" t="str">
        <f t="shared" ref="F39:F40" si="21">D39</f>
        <v>JOSUÉ SANTIAGO PÉREZ MEDINA</v>
      </c>
      <c r="G39" s="48" t="s">
        <v>9</v>
      </c>
      <c r="H39" s="6" t="str">
        <f>D41</f>
        <v>ADRIANA ESPINOZA SALDAÑA</v>
      </c>
      <c r="I39" s="34"/>
      <c r="J39" s="6" t="str">
        <f>D39</f>
        <v>JOSUÉ SANTIAGO PÉREZ MEDINA</v>
      </c>
      <c r="K39" s="48" t="s">
        <v>9</v>
      </c>
      <c r="L39" s="6" t="str">
        <f>D40</f>
        <v>ALBERTO ROBLES ARMENTA</v>
      </c>
      <c r="M39" s="6"/>
      <c r="N39" s="6" t="str">
        <f>D39</f>
        <v>JOSUÉ SANTIAGO PÉREZ MEDINA</v>
      </c>
      <c r="O39" s="48" t="s">
        <v>9</v>
      </c>
      <c r="P39" s="6" t="str">
        <f t="shared" ref="P39" si="22">D40</f>
        <v>ALBERTO ROBLES ARMENTA</v>
      </c>
    </row>
    <row r="40" spans="1:16" ht="15.75" customHeight="1" x14ac:dyDescent="0.3">
      <c r="B40" s="53"/>
      <c r="C40" s="8">
        <f>(F41-H41)+(L41-J41)+(P41-N41)</f>
        <v>0</v>
      </c>
      <c r="D40" s="9" t="str">
        <f>IF('Jornada 4'!G$70=1,INDEX('Jornada 4'!D$39:D$42,MATCH(2,'Jornada 4'!E$39:E$42,0)),INDEX('Jornada 4'!D$32:D$35,MATCH(4,'Jornada 4'!E$32:E$35,0)))</f>
        <v>ALBERTO ROBLES ARMENTA</v>
      </c>
      <c r="E40" s="6">
        <f t="shared" si="20"/>
        <v>2</v>
      </c>
      <c r="F40" s="9" t="str">
        <f t="shared" si="21"/>
        <v>ALBERTO ROBLES ARMENTA</v>
      </c>
      <c r="G40" s="38"/>
      <c r="H40" s="9" t="str">
        <f t="shared" ref="H40" si="23">D42</f>
        <v>CHRISTIAN ULISES ACOSTA LOMELI</v>
      </c>
      <c r="I40" s="34"/>
      <c r="J40" s="9" t="str">
        <f>D41</f>
        <v>ADRIANA ESPINOZA SALDAÑA</v>
      </c>
      <c r="K40" s="38"/>
      <c r="L40" s="9" t="str">
        <f>D42</f>
        <v>CHRISTIAN ULISES ACOSTA LOMELI</v>
      </c>
      <c r="M40" s="9"/>
      <c r="N40" s="9" t="str">
        <f>D42</f>
        <v>CHRISTIAN ULISES ACOSTA LOMELI</v>
      </c>
      <c r="O40" s="38"/>
      <c r="P40" s="9" t="str">
        <f>D41</f>
        <v>ADRIANA ESPINOZA SALDAÑA</v>
      </c>
    </row>
    <row r="41" spans="1:16" ht="15.75" customHeight="1" x14ac:dyDescent="0.3">
      <c r="B41" s="53"/>
      <c r="C41" s="8">
        <f>(H41-F41)+(J41-L41)+(P41-N41)</f>
        <v>0</v>
      </c>
      <c r="D41" s="9" t="str">
        <f>INDEX('Jornada 4'!D$39:D$42,MATCH(3,'Jornada 4'!E$39:E$42,0))</f>
        <v>ADRIANA ESPINOZA SALDAÑA</v>
      </c>
      <c r="E41" s="6">
        <f t="shared" si="20"/>
        <v>3</v>
      </c>
      <c r="F41" s="42"/>
      <c r="G41" s="38"/>
      <c r="H41" s="42"/>
      <c r="I41" s="34"/>
      <c r="J41" s="42"/>
      <c r="K41" s="38"/>
      <c r="L41" s="42"/>
      <c r="M41" s="9"/>
      <c r="N41" s="42"/>
      <c r="O41" s="38"/>
      <c r="P41" s="42"/>
    </row>
    <row r="42" spans="1:16" ht="15.75" customHeight="1" x14ac:dyDescent="0.3">
      <c r="B42" s="54"/>
      <c r="C42" s="8">
        <f>(H41-F41)+(L41-J41)+(N41-P41)</f>
        <v>0</v>
      </c>
      <c r="D42" s="9" t="str">
        <f>INDEX('Jornada 4'!D$39:D$42,MATCH(4,'Jornada 4'!E$39:E$42,0))</f>
        <v>CHRISTIAN ULISES ACOSTA LOMELI</v>
      </c>
      <c r="E42" s="6">
        <f t="shared" si="20"/>
        <v>4</v>
      </c>
      <c r="F42" s="39"/>
      <c r="G42" s="51"/>
      <c r="H42" s="39"/>
      <c r="I42" s="34"/>
      <c r="J42" s="39"/>
      <c r="K42" s="51"/>
      <c r="L42" s="39"/>
      <c r="M42" s="9"/>
      <c r="N42" s="39"/>
      <c r="O42" s="51"/>
      <c r="P42" s="39"/>
    </row>
    <row r="43" spans="1:16" ht="15.75" customHeight="1" x14ac:dyDescent="0.3"/>
    <row r="44" spans="1:16" ht="15.75" hidden="1" customHeight="1" x14ac:dyDescent="0.3"/>
    <row r="45" spans="1:16" ht="15.75" hidden="1" customHeight="1" x14ac:dyDescent="0.3">
      <c r="B45" s="42" t="s">
        <v>15</v>
      </c>
      <c r="C45" s="2" t="s">
        <v>2</v>
      </c>
      <c r="D45" s="2" t="s">
        <v>3</v>
      </c>
      <c r="E45" s="2"/>
      <c r="F45" s="2" t="s">
        <v>4</v>
      </c>
      <c r="G45" s="2"/>
      <c r="H45" s="2"/>
      <c r="I45" s="2"/>
      <c r="J45" s="2" t="s">
        <v>5</v>
      </c>
      <c r="K45" s="2"/>
      <c r="L45" s="2"/>
      <c r="M45" s="2"/>
      <c r="N45" s="2" t="s">
        <v>6</v>
      </c>
      <c r="O45" s="2"/>
      <c r="P45" s="3"/>
    </row>
    <row r="46" spans="1:16" ht="15.75" hidden="1" customHeight="1" x14ac:dyDescent="0.3">
      <c r="B46" s="43"/>
      <c r="C46" s="5">
        <f>(F48-H48)+(J48-L48)+(N48-P48)</f>
        <v>0</v>
      </c>
      <c r="D46" s="6" t="s">
        <v>16</v>
      </c>
      <c r="E46" s="6"/>
      <c r="F46" s="6" t="str">
        <f t="shared" ref="F46:F47" si="24">D46</f>
        <v>Jugador 1</v>
      </c>
      <c r="G46" s="38" t="s">
        <v>9</v>
      </c>
      <c r="H46" s="6" t="str">
        <f t="shared" ref="H46:H47" si="25">D48</f>
        <v>Jugador 3</v>
      </c>
      <c r="I46" s="6"/>
      <c r="J46" s="6" t="str">
        <f>D46</f>
        <v>Jugador 1</v>
      </c>
      <c r="K46" s="38" t="s">
        <v>9</v>
      </c>
      <c r="L46" s="6" t="str">
        <f>D47</f>
        <v>Jugador 2</v>
      </c>
      <c r="M46" s="6"/>
      <c r="N46" s="6" t="str">
        <f>D46</f>
        <v>Jugador 1</v>
      </c>
      <c r="O46" s="38" t="s">
        <v>9</v>
      </c>
      <c r="P46" s="6" t="str">
        <f t="shared" ref="P46:P47" si="26">D47</f>
        <v>Jugador 2</v>
      </c>
    </row>
    <row r="47" spans="1:16" ht="15.75" hidden="1" customHeight="1" x14ac:dyDescent="0.3">
      <c r="B47" s="43"/>
      <c r="C47" s="8">
        <f>(F48-H48)+(L48-J48)+(P48-N48)</f>
        <v>0</v>
      </c>
      <c r="D47" s="9" t="s">
        <v>17</v>
      </c>
      <c r="E47" s="9"/>
      <c r="F47" s="9" t="str">
        <f t="shared" si="24"/>
        <v>Jugador 2</v>
      </c>
      <c r="G47" s="39"/>
      <c r="H47" s="9" t="str">
        <f t="shared" si="25"/>
        <v>Jugador 4</v>
      </c>
      <c r="I47" s="9"/>
      <c r="J47" s="9" t="str">
        <f>D48</f>
        <v>Jugador 3</v>
      </c>
      <c r="K47" s="39"/>
      <c r="L47" s="9" t="str">
        <f>D49</f>
        <v>Jugador 4</v>
      </c>
      <c r="M47" s="9"/>
      <c r="N47" s="9" t="str">
        <f>D49</f>
        <v>Jugador 4</v>
      </c>
      <c r="O47" s="39"/>
      <c r="P47" s="9" t="str">
        <f t="shared" si="26"/>
        <v>Jugador 3</v>
      </c>
    </row>
    <row r="48" spans="1:16" ht="15.75" hidden="1" customHeight="1" x14ac:dyDescent="0.3">
      <c r="B48" s="43"/>
      <c r="C48" s="8">
        <f>(H48-F48)+(J48-L48)+(P48-N48)</f>
        <v>0</v>
      </c>
      <c r="D48" s="9" t="s">
        <v>18</v>
      </c>
      <c r="E48" s="9"/>
      <c r="F48" s="42"/>
      <c r="G48" s="9"/>
      <c r="H48" s="42"/>
      <c r="I48" s="9"/>
      <c r="J48" s="42"/>
      <c r="K48" s="9"/>
      <c r="L48" s="42"/>
      <c r="M48" s="9"/>
      <c r="N48" s="42"/>
      <c r="O48" s="9"/>
      <c r="P48" s="42"/>
    </row>
    <row r="49" spans="2:16" ht="15.75" hidden="1" customHeight="1" x14ac:dyDescent="0.3">
      <c r="B49" s="43"/>
      <c r="C49" s="8">
        <f>(H48-F48)+(L48-J48)+(N48-P48)</f>
        <v>0</v>
      </c>
      <c r="D49" s="9" t="s">
        <v>19</v>
      </c>
      <c r="E49" s="9"/>
      <c r="F49" s="39"/>
      <c r="G49" s="9"/>
      <c r="H49" s="39"/>
      <c r="I49" s="9"/>
      <c r="J49" s="39"/>
      <c r="K49" s="9"/>
      <c r="L49" s="39"/>
      <c r="M49" s="9"/>
      <c r="N49" s="39"/>
      <c r="O49" s="9"/>
      <c r="P49" s="39"/>
    </row>
    <row r="50" spans="2:16" ht="15.75" hidden="1" customHeight="1" x14ac:dyDescent="0.3">
      <c r="B50" s="39"/>
      <c r="C50" s="1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5.75" hidden="1" customHeight="1" x14ac:dyDescent="0.3"/>
    <row r="52" spans="2:16" ht="15.75" hidden="1" customHeight="1" x14ac:dyDescent="0.3"/>
    <row r="53" spans="2:16" ht="15.75" hidden="1" customHeight="1" x14ac:dyDescent="0.3">
      <c r="B53" s="42" t="s">
        <v>20</v>
      </c>
      <c r="C53" s="2" t="s">
        <v>2</v>
      </c>
      <c r="D53" s="2" t="s">
        <v>3</v>
      </c>
      <c r="E53" s="2"/>
      <c r="F53" s="2" t="s">
        <v>4</v>
      </c>
      <c r="G53" s="2"/>
      <c r="H53" s="2"/>
      <c r="I53" s="2"/>
      <c r="J53" s="2" t="s">
        <v>5</v>
      </c>
      <c r="K53" s="2"/>
      <c r="L53" s="2"/>
      <c r="M53" s="2"/>
      <c r="N53" s="2" t="s">
        <v>6</v>
      </c>
      <c r="O53" s="2"/>
      <c r="P53" s="3"/>
    </row>
    <row r="54" spans="2:16" ht="15.75" hidden="1" customHeight="1" x14ac:dyDescent="0.3">
      <c r="B54" s="43"/>
      <c r="C54" s="5">
        <f>(F56-H56)+(J56-L56)+(N56-P56)</f>
        <v>0</v>
      </c>
      <c r="D54" s="6" t="s">
        <v>16</v>
      </c>
      <c r="E54" s="6"/>
      <c r="F54" s="6" t="str">
        <f t="shared" ref="F54:F55" si="27">D54</f>
        <v>Jugador 1</v>
      </c>
      <c r="G54" s="38" t="s">
        <v>9</v>
      </c>
      <c r="H54" s="6" t="str">
        <f t="shared" ref="H54:H55" si="28">D56</f>
        <v>Jugador 3</v>
      </c>
      <c r="I54" s="6"/>
      <c r="J54" s="6" t="str">
        <f>D54</f>
        <v>Jugador 1</v>
      </c>
      <c r="K54" s="38" t="s">
        <v>9</v>
      </c>
      <c r="L54" s="6" t="str">
        <f>D55</f>
        <v>Jugador 2</v>
      </c>
      <c r="M54" s="6"/>
      <c r="N54" s="6" t="str">
        <f>D54</f>
        <v>Jugador 1</v>
      </c>
      <c r="O54" s="38" t="s">
        <v>9</v>
      </c>
      <c r="P54" s="6" t="str">
        <f t="shared" ref="P54:P55" si="29">D55</f>
        <v>Jugador 2</v>
      </c>
    </row>
    <row r="55" spans="2:16" ht="15.75" hidden="1" customHeight="1" x14ac:dyDescent="0.3">
      <c r="B55" s="43"/>
      <c r="C55" s="8">
        <f>(F56-H56)+(L56-J56)+(P56-N56)</f>
        <v>0</v>
      </c>
      <c r="D55" s="9" t="s">
        <v>17</v>
      </c>
      <c r="E55" s="9"/>
      <c r="F55" s="9" t="str">
        <f t="shared" si="27"/>
        <v>Jugador 2</v>
      </c>
      <c r="G55" s="39"/>
      <c r="H55" s="9" t="str">
        <f t="shared" si="28"/>
        <v>Jugador 4</v>
      </c>
      <c r="I55" s="9"/>
      <c r="J55" s="9" t="str">
        <f>D56</f>
        <v>Jugador 3</v>
      </c>
      <c r="K55" s="39"/>
      <c r="L55" s="9" t="str">
        <f>D57</f>
        <v>Jugador 4</v>
      </c>
      <c r="M55" s="9"/>
      <c r="N55" s="9" t="str">
        <f>D57</f>
        <v>Jugador 4</v>
      </c>
      <c r="O55" s="39"/>
      <c r="P55" s="9" t="str">
        <f t="shared" si="29"/>
        <v>Jugador 3</v>
      </c>
    </row>
    <row r="56" spans="2:16" ht="15.75" hidden="1" customHeight="1" x14ac:dyDescent="0.3">
      <c r="B56" s="43"/>
      <c r="C56" s="8">
        <f>(H56-F56)+(J56-L56)+(P56-N56)</f>
        <v>0</v>
      </c>
      <c r="D56" s="9" t="s">
        <v>18</v>
      </c>
      <c r="E56" s="9"/>
      <c r="F56" s="42"/>
      <c r="G56" s="9"/>
      <c r="H56" s="42"/>
      <c r="I56" s="9"/>
      <c r="J56" s="42"/>
      <c r="K56" s="9"/>
      <c r="L56" s="42"/>
      <c r="M56" s="9"/>
      <c r="N56" s="42"/>
      <c r="O56" s="9"/>
      <c r="P56" s="42"/>
    </row>
    <row r="57" spans="2:16" ht="15.75" hidden="1" customHeight="1" x14ac:dyDescent="0.3">
      <c r="B57" s="43"/>
      <c r="C57" s="8">
        <f>(H56-F56)+(L56-J56)+(N56-P56)</f>
        <v>0</v>
      </c>
      <c r="D57" s="9" t="s">
        <v>19</v>
      </c>
      <c r="E57" s="9"/>
      <c r="F57" s="39"/>
      <c r="G57" s="9"/>
      <c r="H57" s="39"/>
      <c r="I57" s="9"/>
      <c r="J57" s="39"/>
      <c r="K57" s="9"/>
      <c r="L57" s="39"/>
      <c r="M57" s="9"/>
      <c r="N57" s="39"/>
      <c r="O57" s="9"/>
      <c r="P57" s="39"/>
    </row>
    <row r="58" spans="2:16" ht="15.75" hidden="1" customHeight="1" x14ac:dyDescent="0.3">
      <c r="B58" s="39"/>
      <c r="C58" s="1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5.75" hidden="1" customHeight="1" x14ac:dyDescent="0.3"/>
    <row r="60" spans="2:16" ht="15.75" hidden="1" customHeight="1" x14ac:dyDescent="0.3"/>
    <row r="61" spans="2:16" ht="15.75" hidden="1" customHeight="1" x14ac:dyDescent="0.3">
      <c r="B61" s="42" t="s">
        <v>21</v>
      </c>
      <c r="C61" s="2" t="s">
        <v>2</v>
      </c>
      <c r="D61" s="2" t="s">
        <v>3</v>
      </c>
      <c r="E61" s="2"/>
      <c r="F61" s="2" t="s">
        <v>4</v>
      </c>
      <c r="G61" s="2"/>
      <c r="H61" s="2"/>
      <c r="I61" s="2"/>
      <c r="J61" s="2" t="s">
        <v>5</v>
      </c>
      <c r="K61" s="2"/>
      <c r="L61" s="2"/>
      <c r="M61" s="2"/>
      <c r="N61" s="2" t="s">
        <v>6</v>
      </c>
      <c r="O61" s="2"/>
      <c r="P61" s="3"/>
    </row>
    <row r="62" spans="2:16" ht="15.75" hidden="1" customHeight="1" x14ac:dyDescent="0.3">
      <c r="B62" s="43"/>
      <c r="C62" s="5">
        <f>(F64-H64)+(J64-L64)+(N64-P64)</f>
        <v>0</v>
      </c>
      <c r="D62" s="6" t="s">
        <v>16</v>
      </c>
      <c r="E62" s="6"/>
      <c r="F62" s="6" t="str">
        <f t="shared" ref="F62:F63" si="30">D62</f>
        <v>Jugador 1</v>
      </c>
      <c r="G62" s="38" t="s">
        <v>9</v>
      </c>
      <c r="H62" s="6" t="str">
        <f t="shared" ref="H62:H63" si="31">D64</f>
        <v>Jugador 3</v>
      </c>
      <c r="I62" s="6"/>
      <c r="J62" s="6" t="str">
        <f>D62</f>
        <v>Jugador 1</v>
      </c>
      <c r="K62" s="38" t="s">
        <v>9</v>
      </c>
      <c r="L62" s="6" t="str">
        <f>D63</f>
        <v>Jugador 2</v>
      </c>
      <c r="M62" s="6"/>
      <c r="N62" s="6" t="str">
        <f>D62</f>
        <v>Jugador 1</v>
      </c>
      <c r="O62" s="38" t="s">
        <v>9</v>
      </c>
      <c r="P62" s="6" t="str">
        <f t="shared" ref="P62:P63" si="32">D63</f>
        <v>Jugador 2</v>
      </c>
    </row>
    <row r="63" spans="2:16" ht="15.75" hidden="1" customHeight="1" x14ac:dyDescent="0.3">
      <c r="B63" s="43"/>
      <c r="C63" s="8">
        <f>(F64-H64)+(L64-J64)+(P64-N64)</f>
        <v>0</v>
      </c>
      <c r="D63" s="9" t="s">
        <v>17</v>
      </c>
      <c r="E63" s="9"/>
      <c r="F63" s="9" t="str">
        <f t="shared" si="30"/>
        <v>Jugador 2</v>
      </c>
      <c r="G63" s="39"/>
      <c r="H63" s="9" t="str">
        <f t="shared" si="31"/>
        <v>Jugador 4</v>
      </c>
      <c r="I63" s="9"/>
      <c r="J63" s="9" t="str">
        <f>D64</f>
        <v>Jugador 3</v>
      </c>
      <c r="K63" s="39"/>
      <c r="L63" s="9" t="str">
        <f>D65</f>
        <v>Jugador 4</v>
      </c>
      <c r="M63" s="9"/>
      <c r="N63" s="9" t="str">
        <f>D65</f>
        <v>Jugador 4</v>
      </c>
      <c r="O63" s="39"/>
      <c r="P63" s="9" t="str">
        <f t="shared" si="32"/>
        <v>Jugador 3</v>
      </c>
    </row>
    <row r="64" spans="2:16" ht="15.75" hidden="1" customHeight="1" x14ac:dyDescent="0.3">
      <c r="B64" s="43"/>
      <c r="C64" s="8">
        <f>(H64-F64)+(J64-L64)+(P64-N64)</f>
        <v>0</v>
      </c>
      <c r="D64" s="9" t="s">
        <v>18</v>
      </c>
      <c r="E64" s="9"/>
      <c r="F64" s="42"/>
      <c r="G64" s="9"/>
      <c r="H64" s="42"/>
      <c r="I64" s="9"/>
      <c r="J64" s="42"/>
      <c r="K64" s="9"/>
      <c r="L64" s="42"/>
      <c r="M64" s="9"/>
      <c r="N64" s="42"/>
      <c r="O64" s="9"/>
      <c r="P64" s="42"/>
    </row>
    <row r="65" spans="2:16" ht="15.75" hidden="1" customHeight="1" x14ac:dyDescent="0.3">
      <c r="B65" s="43"/>
      <c r="C65" s="8">
        <f>(H64-F64)+(L64-J64)+(N64-P64)</f>
        <v>0</v>
      </c>
      <c r="D65" s="9" t="s">
        <v>19</v>
      </c>
      <c r="E65" s="9"/>
      <c r="F65" s="39"/>
      <c r="G65" s="9"/>
      <c r="H65" s="39"/>
      <c r="I65" s="9"/>
      <c r="J65" s="39"/>
      <c r="K65" s="9"/>
      <c r="L65" s="39"/>
      <c r="M65" s="9"/>
      <c r="N65" s="39"/>
      <c r="O65" s="9"/>
      <c r="P65" s="39"/>
    </row>
    <row r="66" spans="2:16" ht="15.75" hidden="1" customHeight="1" x14ac:dyDescent="0.3">
      <c r="B66" s="39"/>
      <c r="C66" s="1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5.75" hidden="1" customHeight="1" x14ac:dyDescent="0.3"/>
    <row r="68" spans="2:16" ht="15.75" hidden="1" customHeight="1" x14ac:dyDescent="0.3"/>
    <row r="69" spans="2:16" ht="15.75" hidden="1" customHeight="1" x14ac:dyDescent="0.3"/>
    <row r="70" spans="2:16" ht="15.75" customHeight="1" x14ac:dyDescent="0.3">
      <c r="F70" s="1" t="s">
        <v>22</v>
      </c>
      <c r="G70" s="1">
        <v>2</v>
      </c>
    </row>
    <row r="71" spans="2:16" ht="15.75" customHeight="1" x14ac:dyDescent="0.3"/>
    <row r="72" spans="2:16" ht="15.75" customHeight="1" x14ac:dyDescent="0.3"/>
    <row r="73" spans="2:16" ht="15.75" customHeight="1" x14ac:dyDescent="0.3"/>
    <row r="74" spans="2:16" ht="15.75" customHeight="1" x14ac:dyDescent="0.3"/>
    <row r="75" spans="2:16" ht="15.75" customHeight="1" x14ac:dyDescent="0.3"/>
    <row r="76" spans="2:16" ht="15.75" customHeight="1" x14ac:dyDescent="0.3"/>
    <row r="77" spans="2:16" ht="15.75" customHeight="1" x14ac:dyDescent="0.3"/>
    <row r="78" spans="2:16" ht="15.75" customHeight="1" x14ac:dyDescent="0.3"/>
    <row r="79" spans="2:16" ht="15.75" customHeight="1" x14ac:dyDescent="0.3"/>
    <row r="80" spans="2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sortState xmlns:xlrd2="http://schemas.microsoft.com/office/spreadsheetml/2017/richdata2" ref="S4:U27">
    <sortCondition ref="S3:S27"/>
  </sortState>
  <mergeCells count="110">
    <mergeCell ref="F1:H1"/>
    <mergeCell ref="S2:U2"/>
    <mergeCell ref="B3:B7"/>
    <mergeCell ref="F3:H3"/>
    <mergeCell ref="J3:L3"/>
    <mergeCell ref="N3:P3"/>
    <mergeCell ref="G4:G7"/>
    <mergeCell ref="K4:K7"/>
    <mergeCell ref="O4:O7"/>
    <mergeCell ref="F6:F7"/>
    <mergeCell ref="H6:H7"/>
    <mergeCell ref="J6:J7"/>
    <mergeCell ref="L6:L7"/>
    <mergeCell ref="N6:N7"/>
    <mergeCell ref="P6:P7"/>
    <mergeCell ref="B10:B14"/>
    <mergeCell ref="F10:H10"/>
    <mergeCell ref="J10:L10"/>
    <mergeCell ref="N10:P10"/>
    <mergeCell ref="G11:G14"/>
    <mergeCell ref="P13:P14"/>
    <mergeCell ref="B17:B21"/>
    <mergeCell ref="F17:H17"/>
    <mergeCell ref="J17:L17"/>
    <mergeCell ref="N17:P17"/>
    <mergeCell ref="G18:G21"/>
    <mergeCell ref="K18:K21"/>
    <mergeCell ref="O18:O21"/>
    <mergeCell ref="F20:F21"/>
    <mergeCell ref="H20:H21"/>
    <mergeCell ref="K11:K14"/>
    <mergeCell ref="O11:O14"/>
    <mergeCell ref="F13:F14"/>
    <mergeCell ref="H13:H14"/>
    <mergeCell ref="J13:J14"/>
    <mergeCell ref="L13:L14"/>
    <mergeCell ref="N13:N14"/>
    <mergeCell ref="J20:J21"/>
    <mergeCell ref="L20:L21"/>
    <mergeCell ref="N20:N21"/>
    <mergeCell ref="P20:P21"/>
    <mergeCell ref="B24:B28"/>
    <mergeCell ref="F24:H24"/>
    <mergeCell ref="J24:L24"/>
    <mergeCell ref="N24:P24"/>
    <mergeCell ref="G25:G28"/>
    <mergeCell ref="K25:K28"/>
    <mergeCell ref="P27:P28"/>
    <mergeCell ref="B31:B35"/>
    <mergeCell ref="F31:H31"/>
    <mergeCell ref="J31:L31"/>
    <mergeCell ref="N31:P31"/>
    <mergeCell ref="G32:G35"/>
    <mergeCell ref="K32:K35"/>
    <mergeCell ref="O32:O35"/>
    <mergeCell ref="F34:F35"/>
    <mergeCell ref="H34:H35"/>
    <mergeCell ref="O25:O28"/>
    <mergeCell ref="F27:F28"/>
    <mergeCell ref="H27:H28"/>
    <mergeCell ref="J27:J28"/>
    <mergeCell ref="L27:L28"/>
    <mergeCell ref="N27:N28"/>
    <mergeCell ref="J34:J35"/>
    <mergeCell ref="L34:L35"/>
    <mergeCell ref="N34:N35"/>
    <mergeCell ref="P34:P35"/>
    <mergeCell ref="B38:B42"/>
    <mergeCell ref="F38:H38"/>
    <mergeCell ref="J38:L38"/>
    <mergeCell ref="N38:P38"/>
    <mergeCell ref="G39:G42"/>
    <mergeCell ref="K39:K42"/>
    <mergeCell ref="P41:P42"/>
    <mergeCell ref="B45:B50"/>
    <mergeCell ref="G46:G47"/>
    <mergeCell ref="K46:K47"/>
    <mergeCell ref="O46:O47"/>
    <mergeCell ref="F48:F49"/>
    <mergeCell ref="H48:H49"/>
    <mergeCell ref="J48:J49"/>
    <mergeCell ref="L48:L49"/>
    <mergeCell ref="N48:N49"/>
    <mergeCell ref="O39:O42"/>
    <mergeCell ref="F41:F42"/>
    <mergeCell ref="H41:H42"/>
    <mergeCell ref="J41:J42"/>
    <mergeCell ref="L41:L42"/>
    <mergeCell ref="N41:N42"/>
    <mergeCell ref="P48:P49"/>
    <mergeCell ref="B53:B58"/>
    <mergeCell ref="G54:G55"/>
    <mergeCell ref="K54:K55"/>
    <mergeCell ref="O54:O55"/>
    <mergeCell ref="F56:F57"/>
    <mergeCell ref="H56:H57"/>
    <mergeCell ref="J56:J57"/>
    <mergeCell ref="L56:L57"/>
    <mergeCell ref="N56:N57"/>
    <mergeCell ref="P64:P65"/>
    <mergeCell ref="P56:P57"/>
    <mergeCell ref="B61:B66"/>
    <mergeCell ref="G62:G63"/>
    <mergeCell ref="K62:K63"/>
    <mergeCell ref="O62:O63"/>
    <mergeCell ref="F64:F65"/>
    <mergeCell ref="H64:H65"/>
    <mergeCell ref="J64:J65"/>
    <mergeCell ref="L64:L65"/>
    <mergeCell ref="N64:N65"/>
  </mergeCells>
  <printOptions horizontalCentered="1" verticalCentered="1"/>
  <pageMargins left="0" right="0" top="0" bottom="0" header="0" footer="0"/>
  <pageSetup paperSize="5"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2457-E970-4DA1-A0D5-5C2DC6245181}">
  <dimension ref="A1:H25"/>
  <sheetViews>
    <sheetView tabSelected="1" workbookViewId="0">
      <selection activeCell="D14" sqref="D14"/>
    </sheetView>
  </sheetViews>
  <sheetFormatPr baseColWidth="10" defaultRowHeight="14.4" x14ac:dyDescent="0.3"/>
  <cols>
    <col min="1" max="1" width="37.5546875" bestFit="1" customWidth="1"/>
  </cols>
  <sheetData>
    <row r="1" spans="1:8" x14ac:dyDescent="0.3">
      <c r="A1" t="s">
        <v>64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3">
      <c r="A2" t="str">
        <f>Hoja2!B3</f>
        <v>MAURICIO ALEJANDRO BAUTISTA</v>
      </c>
      <c r="B2">
        <f>INDEX('Jornada 1'!T$4:T$27,MATCH(A2,'Jornada 1'!U$4:U$27,0))</f>
        <v>9</v>
      </c>
      <c r="C2">
        <f>INDEX('Jornada 2 (1)'!$T$4:$T$27,MATCH($A2,'Jornada 2 (1)'!$U$4:$U$27,0))</f>
        <v>11</v>
      </c>
      <c r="D2">
        <f>INDEX('Jornada 3'!$T$4:$T$27,MATCH($A2,'Jornada 3'!$U$4:$U$27,0))</f>
        <v>0</v>
      </c>
      <c r="E2">
        <f>INDEX('Jornada 4'!$T$4:$T$27,MATCH($A2,'Jornada 4'!$U$4:$U$27,0))</f>
        <v>0</v>
      </c>
      <c r="F2">
        <f>INDEX('Jornada 5'!$T$4:$T$27,MATCH($A2,'Jornada 5'!$U$4:$U$27,0))</f>
        <v>0</v>
      </c>
      <c r="G2">
        <f>SUM(B2:F2)</f>
        <v>20</v>
      </c>
      <c r="H2">
        <f>COUNTIF(G$2:G$25,"&gt;"&amp;G2)+1</f>
        <v>1</v>
      </c>
    </row>
    <row r="3" spans="1:8" x14ac:dyDescent="0.3">
      <c r="A3" t="str">
        <f>Hoja2!B19</f>
        <v>JOSE EMILIANO VAZQUEZ NUÑO</v>
      </c>
      <c r="B3">
        <f>INDEX('Jornada 1'!T$4:T$27,MATCH(A3,'Jornada 1'!U$4:U$27,0))</f>
        <v>11</v>
      </c>
      <c r="C3">
        <f>INDEX('Jornada 2 (1)'!$T$4:$T$27,MATCH($A3,'Jornada 2 (1)'!$U$4:$U$27,0))</f>
        <v>-1</v>
      </c>
      <c r="D3">
        <f>INDEX('Jornada 3'!$T$4:$T$27,MATCH($A3,'Jornada 3'!$U$4:$U$27,0))</f>
        <v>0</v>
      </c>
      <c r="E3">
        <f>INDEX('Jornada 4'!$T$4:$T$27,MATCH($A3,'Jornada 4'!$U$4:$U$27,0))</f>
        <v>0</v>
      </c>
      <c r="F3">
        <f>INDEX('Jornada 5'!$T$4:$T$27,MATCH($A3,'Jornada 5'!$U$4:$U$27,0))</f>
        <v>0</v>
      </c>
      <c r="G3">
        <f>SUM(B3:F3)</f>
        <v>10</v>
      </c>
      <c r="H3">
        <f>COUNTIF(G$2:G$25,"&gt;"&amp;G3)+1</f>
        <v>2</v>
      </c>
    </row>
    <row r="4" spans="1:8" x14ac:dyDescent="0.3">
      <c r="A4" t="str">
        <f>Hoja2!B23</f>
        <v>LEO LUCERO KOLB</v>
      </c>
      <c r="B4">
        <f>INDEX('Jornada 1'!T$4:T$27,MATCH(A4,'Jornada 1'!U$4:U$27,0))</f>
        <v>5</v>
      </c>
      <c r="C4">
        <f>INDEX('Jornada 2 (1)'!$T$4:$T$27,MATCH($A4,'Jornada 2 (1)'!$U$4:$U$27,0))</f>
        <v>5</v>
      </c>
      <c r="D4">
        <f>INDEX('Jornada 3'!$T$4:$T$27,MATCH($A4,'Jornada 3'!$U$4:$U$27,0))</f>
        <v>0</v>
      </c>
      <c r="E4">
        <f>INDEX('Jornada 4'!$T$4:$T$27,MATCH($A4,'Jornada 4'!$U$4:$U$27,0))</f>
        <v>0</v>
      </c>
      <c r="F4">
        <f>INDEX('Jornada 5'!$T$4:$T$27,MATCH($A4,'Jornada 5'!$U$4:$U$27,0))</f>
        <v>0</v>
      </c>
      <c r="G4">
        <f>SUM(B4:F4)</f>
        <v>10</v>
      </c>
      <c r="H4">
        <f>COUNTIF(G$2:G$25,"&gt;"&amp;G4)+1</f>
        <v>2</v>
      </c>
    </row>
    <row r="5" spans="1:8" x14ac:dyDescent="0.3">
      <c r="A5" t="str">
        <f>Hoja2!B25</f>
        <v>MAURICIO LOZANO CASTILLERO</v>
      </c>
      <c r="B5">
        <f>INDEX('Jornada 1'!T$4:T$27,MATCH(A5,'Jornada 1'!U$4:U$27,0))</f>
        <v>1</v>
      </c>
      <c r="C5">
        <f>INDEX('Jornada 2 (1)'!$T$4:$T$27,MATCH($A5,'Jornada 2 (1)'!$U$4:$U$27,0))</f>
        <v>9</v>
      </c>
      <c r="D5">
        <f>INDEX('Jornada 3'!$T$4:$T$27,MATCH($A5,'Jornada 3'!$U$4:$U$27,0))</f>
        <v>0</v>
      </c>
      <c r="E5">
        <f>INDEX('Jornada 4'!$T$4:$T$27,MATCH($A5,'Jornada 4'!$U$4:$U$27,0))</f>
        <v>0</v>
      </c>
      <c r="F5">
        <f>INDEX('Jornada 5'!$T$4:$T$27,MATCH($A5,'Jornada 5'!$U$4:$U$27,0))</f>
        <v>0</v>
      </c>
      <c r="G5">
        <f>SUM(B5:F5)</f>
        <v>10</v>
      </c>
      <c r="H5">
        <f>COUNTIF(G$2:G$25,"&gt;"&amp;G5)+1</f>
        <v>2</v>
      </c>
    </row>
    <row r="6" spans="1:8" x14ac:dyDescent="0.3">
      <c r="A6" t="str">
        <f>Hoja2!B24</f>
        <v>ADRIANA ESPINOZA SALDAÑA</v>
      </c>
      <c r="B6">
        <f>INDEX('Jornada 1'!T$4:T$27,MATCH(A6,'Jornada 1'!U$4:U$27,0))</f>
        <v>3</v>
      </c>
      <c r="C6">
        <f>INDEX('Jornada 2 (1)'!$T$4:$T$27,MATCH($A6,'Jornada 2 (1)'!$U$4:$U$27,0))</f>
        <v>3</v>
      </c>
      <c r="D6">
        <f>INDEX('Jornada 3'!$T$4:$T$27,MATCH($A6,'Jornada 3'!$U$4:$U$27,0))</f>
        <v>0</v>
      </c>
      <c r="E6">
        <f>INDEX('Jornada 4'!$T$4:$T$27,MATCH($A6,'Jornada 4'!$U$4:$U$27,0))</f>
        <v>0</v>
      </c>
      <c r="F6">
        <f>INDEX('Jornada 5'!$T$4:$T$27,MATCH($A6,'Jornada 5'!$U$4:$U$27,0))</f>
        <v>0</v>
      </c>
      <c r="G6">
        <f>SUM(B6:F6)</f>
        <v>6</v>
      </c>
      <c r="H6">
        <f>COUNTIF(G$2:G$25,"&gt;"&amp;G6)+1</f>
        <v>5</v>
      </c>
    </row>
    <row r="7" spans="1:8" x14ac:dyDescent="0.3">
      <c r="A7" t="str">
        <f>Hoja2!B7</f>
        <v xml:space="preserve">IKER FRANCISCO NORIEGA JIMENEZ </v>
      </c>
      <c r="B7">
        <f>INDEX('Jornada 1'!T$4:T$27,MATCH(A7,'Jornada 1'!U$4:U$27,0))</f>
        <v>-6</v>
      </c>
      <c r="C7">
        <f>INDEX('Jornada 2 (1)'!$T$4:$T$27,MATCH($A7,'Jornada 2 (1)'!$U$4:$U$27,0))</f>
        <v>8</v>
      </c>
      <c r="D7">
        <f>INDEX('Jornada 3'!$T$4:$T$27,MATCH($A7,'Jornada 3'!$U$4:$U$27,0))</f>
        <v>0</v>
      </c>
      <c r="E7">
        <f>INDEX('Jornada 4'!$T$4:$T$27,MATCH($A7,'Jornada 4'!$U$4:$U$27,0))</f>
        <v>0</v>
      </c>
      <c r="F7">
        <f>INDEX('Jornada 5'!$T$4:$T$27,MATCH($A7,'Jornada 5'!$U$4:$U$27,0))</f>
        <v>0</v>
      </c>
      <c r="G7">
        <f>SUM(B7:F7)</f>
        <v>2</v>
      </c>
      <c r="H7">
        <f>COUNTIF(G$2:G$25,"&gt;"&amp;G7)+1</f>
        <v>6</v>
      </c>
    </row>
    <row r="8" spans="1:8" x14ac:dyDescent="0.3">
      <c r="A8" t="str">
        <f>Hoja2!B26</f>
        <v>IAN DE LA BARQUERA</v>
      </c>
      <c r="B8">
        <f>INDEX('Jornada 1'!T$4:T$27,MATCH(A8,'Jornada 1'!U$4:U$27,0))</f>
        <v>-7</v>
      </c>
      <c r="C8">
        <f>INDEX('Jornada 2 (1)'!$T$4:$T$27,MATCH($A8,'Jornada 2 (1)'!$U$4:$U$27,0))</f>
        <v>9</v>
      </c>
      <c r="D8">
        <f>INDEX('Jornada 3'!$T$4:$T$27,MATCH($A8,'Jornada 3'!$U$4:$U$27,0))</f>
        <v>0</v>
      </c>
      <c r="E8">
        <f>INDEX('Jornada 4'!$T$4:$T$27,MATCH($A8,'Jornada 4'!$U$4:$U$27,0))</f>
        <v>0</v>
      </c>
      <c r="F8">
        <f>INDEX('Jornada 5'!$T$4:$T$27,MATCH($A8,'Jornada 5'!$U$4:$U$27,0))</f>
        <v>0</v>
      </c>
      <c r="G8">
        <f>SUM(B8:F8)</f>
        <v>2</v>
      </c>
      <c r="H8">
        <f>COUNTIF(G$2:G$25,"&gt;"&amp;G8)+1</f>
        <v>6</v>
      </c>
    </row>
    <row r="9" spans="1:8" x14ac:dyDescent="0.3">
      <c r="A9" t="str">
        <f>Hoja2!B8</f>
        <v>ELISA CAROLINA DIAZ LAGUNA</v>
      </c>
      <c r="B9">
        <f>INDEX('Jornada 1'!T$4:T$27,MATCH(A9,'Jornada 1'!U$4:U$27,0))</f>
        <v>2</v>
      </c>
      <c r="C9">
        <f>INDEX('Jornada 2 (1)'!$T$4:$T$27,MATCH($A9,'Jornada 2 (1)'!$U$4:$U$27,0))</f>
        <v>-1</v>
      </c>
      <c r="D9">
        <f>INDEX('Jornada 3'!$T$4:$T$27,MATCH($A9,'Jornada 3'!$U$4:$U$27,0))</f>
        <v>0</v>
      </c>
      <c r="E9">
        <f>INDEX('Jornada 4'!$T$4:$T$27,MATCH($A9,'Jornada 4'!$U$4:$U$27,0))</f>
        <v>0</v>
      </c>
      <c r="F9">
        <f>INDEX('Jornada 5'!$T$4:$T$27,MATCH($A9,'Jornada 5'!$U$4:$U$27,0))</f>
        <v>0</v>
      </c>
      <c r="G9">
        <f>SUM(B9:F9)</f>
        <v>1</v>
      </c>
      <c r="H9">
        <f>COUNTIF(G$2:G$25,"&gt;"&amp;G9)+1</f>
        <v>8</v>
      </c>
    </row>
    <row r="10" spans="1:8" x14ac:dyDescent="0.3">
      <c r="A10" t="str">
        <f>Hoja2!B12</f>
        <v>DIEGO PATRICIO FERNANDEZ VIERA</v>
      </c>
      <c r="B10">
        <f>INDEX('Jornada 1'!T$4:T$27,MATCH(A10,'Jornada 1'!U$4:U$27,0))</f>
        <v>1</v>
      </c>
      <c r="C10">
        <f>INDEX('Jornada 2 (1)'!$T$4:$T$27,MATCH($A10,'Jornada 2 (1)'!$U$4:$U$27,0))</f>
        <v>0</v>
      </c>
      <c r="D10">
        <f>INDEX('Jornada 3'!$T$4:$T$27,MATCH($A10,'Jornada 3'!$U$4:$U$27,0))</f>
        <v>0</v>
      </c>
      <c r="E10">
        <f>INDEX('Jornada 4'!$T$4:$T$27,MATCH($A10,'Jornada 4'!$U$4:$U$27,0))</f>
        <v>0</v>
      </c>
      <c r="F10">
        <f>INDEX('Jornada 5'!$T$4:$T$27,MATCH($A10,'Jornada 5'!$U$4:$U$27,0))</f>
        <v>0</v>
      </c>
      <c r="G10">
        <f>SUM(B10:F10)</f>
        <v>1</v>
      </c>
      <c r="H10">
        <f>COUNTIF(G$2:G$25,"&gt;"&amp;G10)+1</f>
        <v>8</v>
      </c>
    </row>
    <row r="11" spans="1:8" x14ac:dyDescent="0.3">
      <c r="A11" t="str">
        <f>Hoja2!B18</f>
        <v>ESTEFANO ROLANDO BECERRA HERNANDEZ</v>
      </c>
      <c r="B11">
        <f>INDEX('Jornada 1'!T$4:T$27,MATCH(A11,'Jornada 1'!U$4:U$27,0))</f>
        <v>-3</v>
      </c>
      <c r="C11">
        <f>INDEX('Jornada 2 (1)'!$T$4:$T$27,MATCH($A11,'Jornada 2 (1)'!$U$4:$U$27,0))</f>
        <v>4</v>
      </c>
      <c r="D11">
        <f>INDEX('Jornada 3'!$T$4:$T$27,MATCH($A11,'Jornada 3'!$U$4:$U$27,0))</f>
        <v>0</v>
      </c>
      <c r="E11">
        <f>INDEX('Jornada 4'!$T$4:$T$27,MATCH($A11,'Jornada 4'!$U$4:$U$27,0))</f>
        <v>0</v>
      </c>
      <c r="F11">
        <f>INDEX('Jornada 5'!$T$4:$T$27,MATCH($A11,'Jornada 5'!$U$4:$U$27,0))</f>
        <v>0</v>
      </c>
      <c r="G11">
        <f>SUM(B11:F11)</f>
        <v>1</v>
      </c>
      <c r="H11">
        <f>COUNTIF(G$2:G$25,"&gt;"&amp;G11)+1</f>
        <v>8</v>
      </c>
    </row>
    <row r="12" spans="1:8" x14ac:dyDescent="0.3">
      <c r="A12" t="str">
        <f>Hoja2!B13</f>
        <v xml:space="preserve">JESUS ANTONIO SEPULVEDA RODRIGUEZ </v>
      </c>
      <c r="B12">
        <f>INDEX('Jornada 1'!T$4:T$27,MATCH(A12,'Jornada 1'!U$4:U$27,0))</f>
        <v>3</v>
      </c>
      <c r="C12">
        <f>INDEX('Jornada 2 (1)'!$T$4:$T$27,MATCH($A12,'Jornada 2 (1)'!$U$4:$U$27,0))</f>
        <v>-3</v>
      </c>
      <c r="D12">
        <f>INDEX('Jornada 3'!$T$4:$T$27,MATCH($A12,'Jornada 3'!$U$4:$U$27,0))</f>
        <v>0</v>
      </c>
      <c r="E12">
        <f>INDEX('Jornada 4'!$T$4:$T$27,MATCH($A12,'Jornada 4'!$U$4:$U$27,0))</f>
        <v>0</v>
      </c>
      <c r="F12">
        <f>INDEX('Jornada 5'!$T$4:$T$27,MATCH($A12,'Jornada 5'!$U$4:$U$27,0))</f>
        <v>0</v>
      </c>
      <c r="G12">
        <f>SUM(B12:F12)</f>
        <v>0</v>
      </c>
      <c r="H12">
        <f>COUNTIF(G$2:G$25,"&gt;"&amp;G12)+1</f>
        <v>11</v>
      </c>
    </row>
    <row r="13" spans="1:8" x14ac:dyDescent="0.3">
      <c r="A13" t="str">
        <f>Hoja2!B15</f>
        <v>MIGUEL ALCARAZ AMEZCUA</v>
      </c>
      <c r="B13">
        <f>INDEX('Jornada 1'!T$4:T$27,MATCH(A13,'Jornada 1'!U$4:U$27,0))</f>
        <v>4</v>
      </c>
      <c r="C13">
        <f>INDEX('Jornada 2 (1)'!$T$4:$T$27,MATCH($A13,'Jornada 2 (1)'!$U$4:$U$27,0))</f>
        <v>-4</v>
      </c>
      <c r="D13">
        <f>INDEX('Jornada 3'!$T$4:$T$27,MATCH($A13,'Jornada 3'!$U$4:$U$27,0))</f>
        <v>0</v>
      </c>
      <c r="E13">
        <f>INDEX('Jornada 4'!$T$4:$T$27,MATCH($A13,'Jornada 4'!$U$4:$U$27,0))</f>
        <v>0</v>
      </c>
      <c r="F13">
        <f>INDEX('Jornada 5'!$T$4:$T$27,MATCH($A13,'Jornada 5'!$U$4:$U$27,0))</f>
        <v>0</v>
      </c>
      <c r="G13">
        <f>SUM(B13:F13)</f>
        <v>0</v>
      </c>
      <c r="H13">
        <f>COUNTIF(G$2:G$25,"&gt;"&amp;G13)+1</f>
        <v>11</v>
      </c>
    </row>
    <row r="14" spans="1:8" x14ac:dyDescent="0.3">
      <c r="A14" t="str">
        <f>Hoja2!B6</f>
        <v>MARIANO NAVARRO LEAÑO</v>
      </c>
      <c r="B14">
        <f>INDEX('Jornada 1'!T$4:T$27,MATCH(A14,'Jornada 1'!U$4:U$27,0))</f>
        <v>4</v>
      </c>
      <c r="C14">
        <f>INDEX('Jornada 2 (1)'!$T$4:$T$27,MATCH($A14,'Jornada 2 (1)'!$U$4:$U$27,0))</f>
        <v>-5</v>
      </c>
      <c r="D14">
        <f>INDEX('Jornada 3'!$T$4:$T$27,MATCH($A14,'Jornada 3'!$U$4:$U$27,0))</f>
        <v>0</v>
      </c>
      <c r="E14">
        <f>INDEX('Jornada 4'!$T$4:$T$27,MATCH($A14,'Jornada 4'!$U$4:$U$27,0))</f>
        <v>0</v>
      </c>
      <c r="F14">
        <f>INDEX('Jornada 5'!$T$4:$T$27,MATCH($A14,'Jornada 5'!$U$4:$U$27,0))</f>
        <v>0</v>
      </c>
      <c r="G14">
        <f>SUM(B14:F14)</f>
        <v>-1</v>
      </c>
      <c r="H14">
        <f>COUNTIF(G$2:G$25,"&gt;"&amp;G14)+1</f>
        <v>13</v>
      </c>
    </row>
    <row r="15" spans="1:8" x14ac:dyDescent="0.3">
      <c r="A15" t="str">
        <f>Hoja2!B10</f>
        <v>MAXIMILIANO HERNÁNDEZ OROZCO</v>
      </c>
      <c r="B15">
        <f>INDEX('Jornada 1'!T$4:T$27,MATCH(A15,'Jornada 1'!U$4:U$27,0))</f>
        <v>-5</v>
      </c>
      <c r="C15">
        <f>INDEX('Jornada 2 (1)'!$T$4:$T$27,MATCH($A15,'Jornada 2 (1)'!$U$4:$U$27,0))</f>
        <v>4</v>
      </c>
      <c r="D15">
        <f>INDEX('Jornada 3'!$T$4:$T$27,MATCH($A15,'Jornada 3'!$U$4:$U$27,0))</f>
        <v>0</v>
      </c>
      <c r="E15">
        <f>INDEX('Jornada 4'!$T$4:$T$27,MATCH($A15,'Jornada 4'!$U$4:$U$27,0))</f>
        <v>0</v>
      </c>
      <c r="F15">
        <f>INDEX('Jornada 5'!$T$4:$T$27,MATCH($A15,'Jornada 5'!$U$4:$U$27,0))</f>
        <v>0</v>
      </c>
      <c r="G15">
        <f>SUM(B15:F15)</f>
        <v>-1</v>
      </c>
      <c r="H15">
        <f>COUNTIF(G$2:G$25,"&gt;"&amp;G15)+1</f>
        <v>13</v>
      </c>
    </row>
    <row r="16" spans="1:8" x14ac:dyDescent="0.3">
      <c r="A16" t="str">
        <f>Hoja2!B17</f>
        <v>CAMILO RODRIGUEZ PACHECO</v>
      </c>
      <c r="B16">
        <f>INDEX('Jornada 1'!T$4:T$27,MATCH(A16,'Jornada 1'!U$4:U$27,0))</f>
        <v>2</v>
      </c>
      <c r="C16">
        <f>INDEX('Jornada 2 (1)'!$T$4:$T$27,MATCH($A16,'Jornada 2 (1)'!$U$4:$U$27,0))</f>
        <v>-3</v>
      </c>
      <c r="D16">
        <f>INDEX('Jornada 3'!$T$4:$T$27,MATCH($A16,'Jornada 3'!$U$4:$U$27,0))</f>
        <v>0</v>
      </c>
      <c r="E16">
        <f>INDEX('Jornada 4'!$T$4:$T$27,MATCH($A16,'Jornada 4'!$U$4:$U$27,0))</f>
        <v>0</v>
      </c>
      <c r="F16">
        <f>INDEX('Jornada 5'!$T$4:$T$27,MATCH($A16,'Jornada 5'!$U$4:$U$27,0))</f>
        <v>0</v>
      </c>
      <c r="G16">
        <f>SUM(B16:F16)</f>
        <v>-1</v>
      </c>
      <c r="H16">
        <f>COUNTIF(G$2:G$25,"&gt;"&amp;G16)+1</f>
        <v>13</v>
      </c>
    </row>
    <row r="17" spans="1:8" x14ac:dyDescent="0.3">
      <c r="A17" t="str">
        <f>Hoja2!B21</f>
        <v>LUCAS CONTRERAS PADRÓN</v>
      </c>
      <c r="B17">
        <f>INDEX('Jornada 1'!T$4:T$27,MATCH(A17,'Jornada 1'!U$4:U$27,0))</f>
        <v>-5</v>
      </c>
      <c r="C17">
        <f>INDEX('Jornada 2 (1)'!$T$4:$T$27,MATCH($A17,'Jornada 2 (1)'!$U$4:$U$27,0))</f>
        <v>3</v>
      </c>
      <c r="D17">
        <f>INDEX('Jornada 3'!$T$4:$T$27,MATCH($A17,'Jornada 3'!$U$4:$U$27,0))</f>
        <v>0</v>
      </c>
      <c r="E17">
        <f>INDEX('Jornada 4'!$T$4:$T$27,MATCH($A17,'Jornada 4'!$U$4:$U$27,0))</f>
        <v>0</v>
      </c>
      <c r="F17">
        <f>INDEX('Jornada 5'!$T$4:$T$27,MATCH($A17,'Jornada 5'!$U$4:$U$27,0))</f>
        <v>0</v>
      </c>
      <c r="G17">
        <f>SUM(B17:F17)</f>
        <v>-2</v>
      </c>
      <c r="H17">
        <f>COUNTIF(G$2:G$25,"&gt;"&amp;G17)+1</f>
        <v>16</v>
      </c>
    </row>
    <row r="18" spans="1:8" x14ac:dyDescent="0.3">
      <c r="A18" t="str">
        <f>Hoja2!B11</f>
        <v>EMILIO MATEO OLIVARES CORTÉS</v>
      </c>
      <c r="B18">
        <f>INDEX('Jornada 1'!T$4:T$27,MATCH(A18,'Jornada 1'!U$4:U$27,0))</f>
        <v>1</v>
      </c>
      <c r="C18">
        <f>INDEX('Jornada 2 (1)'!$T$4:$T$27,MATCH($A18,'Jornada 2 (1)'!$U$4:$U$27,0))</f>
        <v>-4</v>
      </c>
      <c r="D18">
        <f>INDEX('Jornada 3'!$T$4:$T$27,MATCH($A18,'Jornada 3'!$U$4:$U$27,0))</f>
        <v>0</v>
      </c>
      <c r="E18">
        <f>INDEX('Jornada 4'!$T$4:$T$27,MATCH($A18,'Jornada 4'!$U$4:$U$27,0))</f>
        <v>0</v>
      </c>
      <c r="F18">
        <f>INDEX('Jornada 5'!$T$4:$T$27,MATCH($A18,'Jornada 5'!$U$4:$U$27,0))</f>
        <v>0</v>
      </c>
      <c r="G18">
        <f>SUM(B18:F18)</f>
        <v>-3</v>
      </c>
      <c r="H18">
        <f>COUNTIF(G$2:G$25,"&gt;"&amp;G18)+1</f>
        <v>17</v>
      </c>
    </row>
    <row r="19" spans="1:8" x14ac:dyDescent="0.3">
      <c r="A19" t="str">
        <f>Hoja2!B16</f>
        <v>ALEJANDRO CAMARENA LOPEZ</v>
      </c>
      <c r="B19">
        <f>INDEX('Jornada 1'!T$4:T$27,MATCH(A19,'Jornada 1'!U$4:U$27,0))</f>
        <v>2</v>
      </c>
      <c r="C19">
        <f>INDEX('Jornada 2 (1)'!$T$4:$T$27,MATCH($A19,'Jornada 2 (1)'!$U$4:$U$27,0))</f>
        <v>-5</v>
      </c>
      <c r="D19">
        <f>INDEX('Jornada 3'!$T$4:$T$27,MATCH($A19,'Jornada 3'!$U$4:$U$27,0))</f>
        <v>0</v>
      </c>
      <c r="E19">
        <f>INDEX('Jornada 4'!$T$4:$T$27,MATCH($A19,'Jornada 4'!$U$4:$U$27,0))</f>
        <v>0</v>
      </c>
      <c r="F19">
        <f>INDEX('Jornada 5'!$T$4:$T$27,MATCH($A19,'Jornada 5'!$U$4:$U$27,0))</f>
        <v>0</v>
      </c>
      <c r="G19">
        <f>SUM(B19:F19)</f>
        <v>-3</v>
      </c>
      <c r="H19">
        <f>COUNTIF(G$2:G$25,"&gt;"&amp;G19)+1</f>
        <v>17</v>
      </c>
    </row>
    <row r="20" spans="1:8" x14ac:dyDescent="0.3">
      <c r="A20" t="str">
        <f>Hoja2!B4</f>
        <v>MARIANO GOMEZ VUILLEUMIER</v>
      </c>
      <c r="B20">
        <f>INDEX('Jornada 1'!T$4:T$27,MATCH(A20,'Jornada 1'!U$4:U$27,0))</f>
        <v>-1</v>
      </c>
      <c r="C20">
        <f>INDEX('Jornada 2 (1)'!$T$4:$T$27,MATCH($A20,'Jornada 2 (1)'!$U$4:$U$27,0))</f>
        <v>-3</v>
      </c>
      <c r="D20">
        <f>INDEX('Jornada 3'!$T$4:$T$27,MATCH($A20,'Jornada 3'!$U$4:$U$27,0))</f>
        <v>0</v>
      </c>
      <c r="E20">
        <f>INDEX('Jornada 4'!$T$4:$T$27,MATCH($A20,'Jornada 4'!$U$4:$U$27,0))</f>
        <v>0</v>
      </c>
      <c r="F20">
        <f>INDEX('Jornada 5'!$T$4:$T$27,MATCH($A20,'Jornada 5'!$U$4:$U$27,0))</f>
        <v>0</v>
      </c>
      <c r="G20">
        <f>SUM(B20:F20)</f>
        <v>-4</v>
      </c>
      <c r="H20">
        <f>COUNTIF(G$2:G$25,"&gt;"&amp;G20)+1</f>
        <v>19</v>
      </c>
    </row>
    <row r="21" spans="1:8" x14ac:dyDescent="0.3">
      <c r="A21" t="str">
        <f>Hoja2!B5</f>
        <v xml:space="preserve">NICOLAS MAXIMILIANO BRILL HERRERA </v>
      </c>
      <c r="B21">
        <f>INDEX('Jornada 1'!T$4:T$27,MATCH(A21,'Jornada 1'!U$4:U$27,0))</f>
        <v>-1</v>
      </c>
      <c r="C21">
        <f>INDEX('Jornada 2 (1)'!$T$4:$T$27,MATCH($A21,'Jornada 2 (1)'!$U$4:$U$27,0))</f>
        <v>-3</v>
      </c>
      <c r="D21">
        <f>INDEX('Jornada 3'!$T$4:$T$27,MATCH($A21,'Jornada 3'!$U$4:$U$27,0))</f>
        <v>0</v>
      </c>
      <c r="E21">
        <f>INDEX('Jornada 4'!$T$4:$T$27,MATCH($A21,'Jornada 4'!$U$4:$U$27,0))</f>
        <v>0</v>
      </c>
      <c r="F21">
        <f>INDEX('Jornada 5'!$T$4:$T$27,MATCH($A21,'Jornada 5'!$U$4:$U$27,0))</f>
        <v>0</v>
      </c>
      <c r="G21">
        <f>SUM(B21:F21)</f>
        <v>-4</v>
      </c>
      <c r="H21">
        <f>COUNTIF(G$2:G$25,"&gt;"&amp;G21)+1</f>
        <v>19</v>
      </c>
    </row>
    <row r="22" spans="1:8" x14ac:dyDescent="0.3">
      <c r="A22" t="str">
        <f>Hoja2!B9</f>
        <v xml:space="preserve">ALONSO CISNEROS SANCHEZ </v>
      </c>
      <c r="B22">
        <f>INDEX('Jornada 1'!T$4:T$27,MATCH(A22,'Jornada 1'!U$4:U$27,0))</f>
        <v>0</v>
      </c>
      <c r="C22">
        <f>INDEX('Jornada 2 (1)'!$T$4:$T$27,MATCH($A22,'Jornada 2 (1)'!$U$4:$U$27,0))</f>
        <v>-5</v>
      </c>
      <c r="D22">
        <f>INDEX('Jornada 3'!$T$4:$T$27,MATCH($A22,'Jornada 3'!$U$4:$U$27,0))</f>
        <v>0</v>
      </c>
      <c r="E22">
        <f>INDEX('Jornada 4'!$T$4:$T$27,MATCH($A22,'Jornada 4'!$U$4:$U$27,0))</f>
        <v>0</v>
      </c>
      <c r="F22">
        <f>INDEX('Jornada 5'!$T$4:$T$27,MATCH($A22,'Jornada 5'!$U$4:$U$27,0))</f>
        <v>0</v>
      </c>
      <c r="G22">
        <f>SUM(B22:F22)</f>
        <v>-5</v>
      </c>
      <c r="H22">
        <f>COUNTIF(G$2:G$25,"&gt;"&amp;G22)+1</f>
        <v>21</v>
      </c>
    </row>
    <row r="23" spans="1:8" x14ac:dyDescent="0.3">
      <c r="A23" t="str">
        <f>Hoja2!B14</f>
        <v>JOSUÉ SANTIAGO PÉREZ MEDINA</v>
      </c>
      <c r="B23">
        <f>INDEX('Jornada 1'!T$4:T$27,MATCH(A23,'Jornada 1'!U$4:U$27,0))</f>
        <v>-8</v>
      </c>
      <c r="C23">
        <f>INDEX('Jornada 2 (1)'!$T$4:$T$27,MATCH($A23,'Jornada 2 (1)'!$U$4:$U$27,0))</f>
        <v>2</v>
      </c>
      <c r="D23">
        <f>INDEX('Jornada 3'!$T$4:$T$27,MATCH($A23,'Jornada 3'!$U$4:$U$27,0))</f>
        <v>0</v>
      </c>
      <c r="E23">
        <f>INDEX('Jornada 4'!$T$4:$T$27,MATCH($A23,'Jornada 4'!$U$4:$U$27,0))</f>
        <v>0</v>
      </c>
      <c r="F23">
        <f>INDEX('Jornada 5'!$T$4:$T$27,MATCH($A23,'Jornada 5'!$U$4:$U$27,0))</f>
        <v>0</v>
      </c>
      <c r="G23">
        <f>SUM(B23:F23)</f>
        <v>-6</v>
      </c>
      <c r="H23">
        <f>COUNTIF(G$2:G$25,"&gt;"&amp;G23)+1</f>
        <v>22</v>
      </c>
    </row>
    <row r="24" spans="1:8" x14ac:dyDescent="0.3">
      <c r="A24" t="str">
        <f>Hoja2!B20</f>
        <v>ALBERTO ROBLES ARMENTA</v>
      </c>
      <c r="B24">
        <f>INDEX('Jornada 1'!T$4:T$27,MATCH(A24,'Jornada 1'!U$4:U$27,0))</f>
        <v>-3</v>
      </c>
      <c r="C24">
        <f>INDEX('Jornada 2 (1)'!$T$4:$T$27,MATCH($A24,'Jornada 2 (1)'!$U$4:$U$27,0))</f>
        <v>-10</v>
      </c>
      <c r="D24">
        <f>INDEX('Jornada 3'!$T$4:$T$27,MATCH($A24,'Jornada 3'!$U$4:$U$27,0))</f>
        <v>0</v>
      </c>
      <c r="E24">
        <f>INDEX('Jornada 4'!$T$4:$T$27,MATCH($A24,'Jornada 4'!$U$4:$U$27,0))</f>
        <v>0</v>
      </c>
      <c r="F24">
        <f>INDEX('Jornada 5'!$T$4:$T$27,MATCH($A24,'Jornada 5'!$U$4:$U$27,0))</f>
        <v>0</v>
      </c>
      <c r="G24">
        <f>SUM(B24:F24)</f>
        <v>-13</v>
      </c>
      <c r="H24">
        <f>COUNTIF(G$2:G$25,"&gt;"&amp;G24)+1</f>
        <v>23</v>
      </c>
    </row>
    <row r="25" spans="1:8" x14ac:dyDescent="0.3">
      <c r="A25" t="str">
        <f>Hoja2!B22</f>
        <v>CHRISTIAN ULISES ACOSTA LOMELI</v>
      </c>
      <c r="B25">
        <f>INDEX('Jornada 1'!T$4:T$27,MATCH(A25,'Jornada 1'!U$4:U$27,0))</f>
        <v>-9</v>
      </c>
      <c r="C25">
        <f>INDEX('Jornada 2 (1)'!$T$4:$T$27,MATCH($A25,'Jornada 2 (1)'!$U$4:$U$27,0))</f>
        <v>-11</v>
      </c>
      <c r="D25">
        <f>INDEX('Jornada 3'!$T$4:$T$27,MATCH($A25,'Jornada 3'!$U$4:$U$27,0))</f>
        <v>0</v>
      </c>
      <c r="E25">
        <f>INDEX('Jornada 4'!$T$4:$T$27,MATCH($A25,'Jornada 4'!$U$4:$U$27,0))</f>
        <v>0</v>
      </c>
      <c r="F25">
        <f>INDEX('Jornada 5'!$T$4:$T$27,MATCH($A25,'Jornada 5'!$U$4:$U$27,0))</f>
        <v>0</v>
      </c>
      <c r="G25">
        <f>SUM(B25:F25)</f>
        <v>-20</v>
      </c>
      <c r="H25">
        <f>COUNTIF(G$2:G$25,"&gt;"&amp;G25)+1</f>
        <v>24</v>
      </c>
    </row>
  </sheetData>
  <autoFilter ref="A1:H25" xr:uid="{B6492457-E970-4DA1-A0D5-5C2DC6245181}">
    <sortState xmlns:xlrd2="http://schemas.microsoft.com/office/spreadsheetml/2017/richdata2" ref="A2:H25">
      <sortCondition ref="H1:H25"/>
    </sortState>
  </autoFilter>
  <sortState xmlns:xlrd2="http://schemas.microsoft.com/office/spreadsheetml/2017/richdata2" ref="A2:H25">
    <sortCondition ref="H1:H25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Hoja2</vt:lpstr>
      <vt:lpstr>Jornada 1</vt:lpstr>
      <vt:lpstr>Jornada 2 (1)</vt:lpstr>
      <vt:lpstr>Jornada 2 partidos</vt:lpstr>
      <vt:lpstr>Jornada 3</vt:lpstr>
      <vt:lpstr>Jornada 4</vt:lpstr>
      <vt:lpstr>Jornada 5</vt:lpstr>
      <vt:lpstr>Ranking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Bernal</dc:creator>
  <cp:lastModifiedBy>Gibran Quiñones</cp:lastModifiedBy>
  <cp:lastPrinted>2025-11-14T18:25:30Z</cp:lastPrinted>
  <dcterms:created xsi:type="dcterms:W3CDTF">2025-08-06T16:27:50Z</dcterms:created>
  <dcterms:modified xsi:type="dcterms:W3CDTF">2025-11-23T02:45:16Z</dcterms:modified>
</cp:coreProperties>
</file>